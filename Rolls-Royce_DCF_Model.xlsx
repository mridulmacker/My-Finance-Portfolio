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WACC" sheetId="3" state="visible" r:id="rId5"/>
    <sheet name="DCF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<sst xmlns="http://schemas.openxmlformats.org/spreadsheetml/2006/main" count="210" uniqueCount="197">
  <si>
    <t xml:space="preserve">ROLLS-ROYCE HOLDINGS PLC (LSE: RR.)</t>
  </si>
  <si>
    <t xml:space="preserve">Discounted Cash Flow Valuation  |  Base year FY2025A  |  Explicit forecast 2026E-2035E  |  Model date 11-Jul-2026</t>
  </si>
  <si>
    <t xml:space="preserve">FTSE 100 aerospace &amp; defence: Civil Aerospace (52% of revenue), Defence (24%), Power Systems (24%). All figures £m unless stated.</t>
  </si>
  <si>
    <t xml:space="preserve">VALUATION SNAPSHOT</t>
  </si>
  <si>
    <t xml:space="preserve">Current share price (10-Jul-2026)</t>
  </si>
  <si>
    <t xml:space="preserve">Market capitalisation (£m)</t>
  </si>
  <si>
    <t xml:space="preserve">DCF implied value per share</t>
  </si>
  <si>
    <t xml:space="preserve">Enterprise value — DCF (£m)</t>
  </si>
  <si>
    <t xml:space="preserve">Implied upside / (downside)</t>
  </si>
  <si>
    <t xml:space="preserve">PV of terminal value as % of EV</t>
  </si>
  <si>
    <t xml:space="preserve">WACC</t>
  </si>
  <si>
    <t xml:space="preserve">Terminal growth rate</t>
  </si>
  <si>
    <t xml:space="preserve">Market-implied perpetual growth (reverse DCF)</t>
  </si>
  <si>
    <t xml:space="preserve">Market cap / FCFF 2026E</t>
  </si>
  <si>
    <t xml:space="preserve">THE ONE-PARAGRAPH VIEW</t>
  </si>
  <si>
    <t xml:space="preserve">Rolls-Royce's transformation is real: FY2025 delivered £3.5bn underlying EBIT (17.3% margin), £3.3bn free cash flow and a £1.9bn net cash position, and management upgraded 2028 targets to £4.9-5.2bn EBIT and £5.0-5.3bn FCF. This model deliberately takes management's 2026 guidance and 2028 targets at face value, then fades growth toward GDP by 2035. Even on those generous operating assumptions, a 9.5% WACC base case values the shares well below the current price: the reverse DCF shows the market is paying for ~6% PERPETUAL growth — i.e. pricing in substantial value from options NOT in the base case (SMR leadership, narrowbody re-entry via UltraFan, a European defence supercycle) and/or a sub-8% discount rate. The interesting question for an investor is therefore not 'is RR a good business?' (it demonstrably is) but 'how much am I paying today for cash flows that do not yet exist?'</t>
  </si>
  <si>
    <t xml:space="preserve">BULL CASE DRIVERS (upside to base)</t>
  </si>
  <si>
    <t xml:space="preserve">•  SMR: sole UK provider (3 units at Wylfa), CEZ commitment for up to 6 Czech units; profitable &amp; FCF-positive by 2030 — carried at ~zero in this DCF.</t>
  </si>
  <si>
    <t xml:space="preserve">•  Narrowbody re-entry via UltraFan partnership would roughly double the addressable civil market.</t>
  </si>
  <si>
    <t xml:space="preserve">•  £7-9bn buyback (2026-28) shrinks the share count ~6-8% vs the static count used here; time-on-wing programme (+100% durability) structurally lifts LTSA margins.</t>
  </si>
  <si>
    <t xml:space="preserve">BEAR CASE / KEY RISKS</t>
  </si>
  <si>
    <t xml:space="preserve">•  Valuation itself: at ~32x 2026E FCFF, execution must be flawless; any guidance miss compresses the multiple and the price simultaneously.</t>
  </si>
  <si>
    <t xml:space="preserve">•  Concentration: Civil Aerospace aftermarket (widebody flying hours) drives the cash engine — a travel shock or Trent durability setback hits FCF directly.</t>
  </si>
  <si>
    <t xml:space="preserve">•  Supply chain &amp; tariffs remain a £150-200m annual cash drag per guidance; LTSA accounting means margin quality relies on long-dated contract estimates.</t>
  </si>
  <si>
    <t xml:space="preserve">MODEL GUIDE &amp; COLOUR LEGEND</t>
  </si>
  <si>
    <t xml:space="preserve">Blue font</t>
  </si>
  <si>
    <t xml:space="preserve">Hardcoded input / analyst assumption — edit these</t>
  </si>
  <si>
    <t xml:space="preserve">Black font</t>
  </si>
  <si>
    <t xml:space="preserve">Formula — do not overwrite</t>
  </si>
  <si>
    <t xml:space="preserve">Green font</t>
  </si>
  <si>
    <t xml:space="preserve">Link to another sheet</t>
  </si>
  <si>
    <t xml:space="preserve">Yellow fill</t>
  </si>
  <si>
    <t xml:space="preserve">Key value drivers and headline outputs</t>
  </si>
  <si>
    <t xml:space="preserve">Tabs</t>
  </si>
  <si>
    <t xml:space="preserve">Summary → Assumptions → WACC → DCF → Sensitivity</t>
  </si>
  <si>
    <t xml:space="preserve">Prepared from the RR FY2025 results announcement (26-Feb-2026) and market data as of 10-Jul-2026. Educational analysis, not investment advice.</t>
  </si>
  <si>
    <t xml:space="preserve">ROLLS-ROYCE HOLDINGS PLC — GLOBAL VALUATION ASSUMPTIONS</t>
  </si>
  <si>
    <t xml:space="preserve">All figures £m unless stated. Blue = hardcoded input (editable). Yellow = key value drivers.</t>
  </si>
  <si>
    <t xml:space="preserve">MARKET &amp; CAPITALISATION DATA</t>
  </si>
  <si>
    <t xml:space="preserve">Valuation date</t>
  </si>
  <si>
    <t xml:space="preserve">30-Jun-2026</t>
  </si>
  <si>
    <t xml:space="preserve">Mid-year 2026 valuation date; FY2026 cash flow is 50%-weighted for the remaining half year.</t>
  </si>
  <si>
    <t xml:space="preserve">Current share price (pence)</t>
  </si>
  <si>
    <t xml:space="preserve">LSE: RR. close 10-Jul-2026 (Investing.com). Update before use.</t>
  </si>
  <si>
    <t xml:space="preserve">Shares outstanding (m)</t>
  </si>
  <si>
    <t xml:space="preserve">c.8.28bn ordinary shares in issue (LSE.co.uk, Jul-2026), net of 2025 £1bn + Jan/Feb-2026 £200m buyback cancellations.</t>
  </si>
  <si>
    <t xml:space="preserve">Calculated: price x shares / 100.</t>
  </si>
  <si>
    <t xml:space="preserve">Net cash / (debt), incl. lease liabilities (£m)</t>
  </si>
  <si>
    <t xml:space="preserve">FY2025 press release, balance sheet: net cash £1,895m at 31-Dec-2025 (gross debt £2.8bn, leases £1.5bn, cash £6.2bn).</t>
  </si>
  <si>
    <t xml:space="preserve">Net post-retirement deficit (£m)</t>
  </si>
  <si>
    <t xml:space="preserve">FY2025 balance sheet: deficits £892m less surpluses £286m. UK scheme buy-out expected 2026.</t>
  </si>
  <si>
    <t xml:space="preserve">Non-controlling interests (£m)</t>
  </si>
  <si>
    <t xml:space="preserve">Book value of NCI, 31-Dec-2025 balance sheet.</t>
  </si>
  <si>
    <t xml:space="preserve">TAX, TERMINAL &amp; TIMING ASSUMPTIONS</t>
  </si>
  <si>
    <t xml:space="preserve">Marginal tax rate (terminal)</t>
  </si>
  <si>
    <t xml:space="preserve">UK statutory corporation tax rate of 25%. Conservative vs FY2025 underlying effective rate of c.17.7%, which was flattered by deferred tax credits.</t>
  </si>
  <si>
    <t xml:space="preserve">Terminal growth rate (g)</t>
  </si>
  <si>
    <t xml:space="preserve">Long-run nominal growth c. in line with UK/global GDP+inflation mix; below long-term aviation RPK growth (~3-4%) for conservatism.</t>
  </si>
  <si>
    <t xml:space="preserve">FY2026 cash flow weighting</t>
  </si>
  <si>
    <t xml:space="preserve">Half of FY2026 FCFF remains uncollected at the 30-Jun-2026 valuation date.</t>
  </si>
  <si>
    <t xml:space="preserve">Discounting convention</t>
  </si>
  <si>
    <t xml:space="preserve">Mid-year</t>
  </si>
  <si>
    <t xml:space="preserve">Cash flows arrive evenly through each year, so each year is discounted from its mid-point. Terminal value discounted from 31-Dec-2035 (t = 9.5).</t>
  </si>
  <si>
    <t xml:space="preserve">FY2025 REPORTED ANCHORS (for reference / tie-out)</t>
  </si>
  <si>
    <t xml:space="preserve">Underlying revenue FY2025</t>
  </si>
  <si>
    <t xml:space="preserve">Civil £10,382m / Defence £4,772m / Power Systems £4,892m / Other £13m</t>
  </si>
  <si>
    <t xml:space="preserve">Underlying operating profit FY2025</t>
  </si>
  <si>
    <t xml:space="preserve">17.3% margin. Civil 20.5% / Defence 14.4% / Power Systems 17.4%</t>
  </si>
  <si>
    <t xml:space="preserve">Free cash flow FY2025 (company definition)</t>
  </si>
  <si>
    <t xml:space="preserve">Post-tax, post-interest, incl. LTSA balance growth of £501m and working-capital inflow of £421m</t>
  </si>
  <si>
    <t xml:space="preserve">Depreciation, amortisation &amp; impairment FY2025</t>
  </si>
  <si>
    <t xml:space="preserve">Underlying funds-flow basis (4.5% of revenue)</t>
  </si>
  <si>
    <t xml:space="preserve">Capital expenditure FY2025</t>
  </si>
  <si>
    <t xml:space="preserve">PP&amp;E £621m + intangible additions £364m, gross of disposals (4.9% of revenue)</t>
  </si>
  <si>
    <t xml:space="preserve">COMPANY GUIDANCE THE FORECAST IS CALIBRATED TO</t>
  </si>
  <si>
    <t xml:space="preserve">2026 guidance — underlying operating profit</t>
  </si>
  <si>
    <t xml:space="preserve">£4.0bn – £4.2bn</t>
  </si>
  <si>
    <t xml:space="preserve">Model FY2026E EBIT sits at the low end of guidance (deliberately conservative).</t>
  </si>
  <si>
    <t xml:space="preserve">2026 guidance — free cash flow</t>
  </si>
  <si>
    <t xml:space="preserve">£3.6bn – £3.8bn</t>
  </si>
  <si>
    <t xml:space="preserve">Model FY2026E FCFF of ~£3.6-3.7bn is consistent (definitions differ slightly: FCFF is pre-net-interest).</t>
  </si>
  <si>
    <t xml:space="preserve">2028 mid-term target — operating profit / margin</t>
  </si>
  <si>
    <t xml:space="preserve">£4.9bn – £5.2bn / 18%–20%</t>
  </si>
  <si>
    <t xml:space="preserve">Model FY2028E EBIT ≈ £5.1bn at a 19.0% margin — inside the target band.</t>
  </si>
  <si>
    <t xml:space="preserve">2028 mid-term target — free cash flow</t>
  </si>
  <si>
    <t xml:space="preserve">£5.0bn – £5.3bn</t>
  </si>
  <si>
    <t xml:space="preserve">Company FCF target includes £0.8-1.2bn p.a. LTSA balance growth; model assumes a fading, more conservative inflow.</t>
  </si>
  <si>
    <t xml:space="preserve">Capital returns</t>
  </si>
  <si>
    <t xml:space="preserve">£7bn-£9bn buyback 2026-28; 9.5p FY25 dividend</t>
  </si>
  <si>
    <t xml:space="preserve">Distributions do not change enterprise value but will shrink the share count vs the (static) 8.28bn used here — upside to per-share value.</t>
  </si>
  <si>
    <t xml:space="preserve">SOURCES</t>
  </si>
  <si>
    <t xml:space="preserve">•  Rolls-Royce Holdings plc 2025 Full Year Results press release, 26-Feb-2026 (rolls-royce.com/investors) — all FY2024A/FY2025A financials, 2026 guidance, 2028 mid-term targets, balance sheet.</t>
  </si>
  <si>
    <t xml:space="preserve">•  LSE.co.uk / Investing.com, 10-Jul-2026 — share price and shares in issue.</t>
  </si>
  <si>
    <t xml:space="preserve">•  UK 10-year gilt yield (c.4.5%, mid-2026) — risk-free rate. Update to live yield before use.</t>
  </si>
  <si>
    <t xml:space="preserve">•  All forecast drivers (growth, margins, capex, working capital, WACC inputs) are analyst assumptions — set out cell-by-cell in blue on the DCF and WACC tabs.</t>
  </si>
  <si>
    <t xml:space="preserve">WEIGHTED AVERAGE COST OF CAPITAL</t>
  </si>
  <si>
    <t xml:space="preserve">COST OF EQUITY (CAPM)</t>
  </si>
  <si>
    <t xml:space="preserve">Risk-free rate (UK 10-year gilt)</t>
  </si>
  <si>
    <t xml:space="preserve">Approximate UK 10Y gilt yield, mid-2026. GBP cash flows discounted at a GBP rate.</t>
  </si>
  <si>
    <t xml:space="preserve">Equity risk premium</t>
  </si>
  <si>
    <t xml:space="preserve">Mature-market ERP (Damodaran-style 4.5-5.0% range).</t>
  </si>
  <si>
    <t xml:space="preserve">Levered beta</t>
  </si>
  <si>
    <t xml:space="preserve">Judgement: raw 5Y beta (~1.4) is distorted by COVID-era distress; 2Y beta and post-transformation cash-flow stability point lower. Flexed in sensitivities.</t>
  </si>
  <si>
    <t xml:space="preserve">Cost of equity (Ke)</t>
  </si>
  <si>
    <t xml:space="preserve">COST OF DEBT</t>
  </si>
  <si>
    <t xml:space="preserve">Pre-tax cost of debt (Kd)</t>
  </si>
  <si>
    <t xml:space="preserve">Blended bond coupon / gilt + ~75-100bps spread; investment-grade issuer with net cash.</t>
  </si>
  <si>
    <t xml:space="preserve">Marginal tax rate</t>
  </si>
  <si>
    <t xml:space="preserve">After-tax cost of debt</t>
  </si>
  <si>
    <t xml:space="preserve">CAPITAL STRUCTURE (MARKET VALUES)</t>
  </si>
  <si>
    <t xml:space="preserve">Market value of equity (£m)</t>
  </si>
  <si>
    <t xml:space="preserve">Gross debt incl. lease liabilities (£m)</t>
  </si>
  <si>
    <t xml:space="preserve">31-Dec-2025: borrowings £2,799m + lease liabilities £1,470m. RR holds NET CASH; gross debt used only for weighting.</t>
  </si>
  <si>
    <t xml:space="preserve">Total capitalisation (£m)</t>
  </si>
  <si>
    <t xml:space="preserve">Weight of equity</t>
  </si>
  <si>
    <t xml:space="preserve">Weight of debt</t>
  </si>
  <si>
    <t xml:space="preserve">With ~96% equity weighting, WACC ≈ cost of equity. Sensitivity tab flexes 7.5%-11.0%.</t>
  </si>
  <si>
    <t xml:space="preserve">DISCOUNTED CASH FLOW — ROLLS-ROYCE HOLDINGS PLC (£m unless stated)</t>
  </si>
  <si>
    <t xml:space="preserve">Fiscal year ending 31 December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</si>
  <si>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</si>
  <si>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</si>
  <si>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</si>
  <si>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</si>
  <si>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</si>
  <si>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</si>
  <si>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</si>
  <si>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</si>
  <si>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</si>
  <si>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</si>
  <si>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</si>
  <si>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</si>
  <si>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SEGMENT REVENUE BUILD</t>
  </si>
  <si>
    <t xml:space="preserve">Civil Aerospace</t>
  </si>
  <si>
    <t xml:space="preserve">   growth %</t>
  </si>
  <si>
    <t xml:space="preserve">Defence</t>
  </si>
  <si>
    <t xml:space="preserve">Power Systems</t>
  </si>
  <si>
    <t xml:space="preserve">All Other Businesses</t>
  </si>
  <si>
    <t xml:space="preserve">Total underlying revenue</t>
  </si>
  <si>
    <t xml:space="preserve">UNDERLYING OPERATING PROFIT (EBIT)</t>
  </si>
  <si>
    <t xml:space="preserve">Civil Aerospace EBIT</t>
  </si>
  <si>
    <t xml:space="preserve">   margin %</t>
  </si>
  <si>
    <t xml:space="preserve">Defence EBIT</t>
  </si>
  <si>
    <t xml:space="preserve">Power Systems EBIT</t>
  </si>
  <si>
    <t xml:space="preserve">Corporate, SMR share &amp; other</t>
  </si>
  <si>
    <t xml:space="preserve">Group underlying EBIT</t>
  </si>
  <si>
    <t xml:space="preserve">UNLEVERED FREE CASH FLOW (FCFF)</t>
  </si>
  <si>
    <t xml:space="preserve">Cash tax rate %</t>
  </si>
  <si>
    <t xml:space="preserve">Cash taxes on EBIT</t>
  </si>
  <si>
    <t xml:space="preserve">NOPAT</t>
  </si>
  <si>
    <t xml:space="preserve">D&amp;A (% of revenue)</t>
  </si>
  <si>
    <t xml:space="preserve">(+) Depreciation &amp; amortisation</t>
  </si>
  <si>
    <t xml:space="preserve">Capex (% of revenue)</t>
  </si>
  <si>
    <t xml:space="preserve">(-) Capital expenditure</t>
  </si>
  <si>
    <t xml:space="preserve">LTSA &amp; working capital inflow (% of revenue)</t>
  </si>
  <si>
    <t xml:space="preserve">(+) LTSA balance growth &amp; working capital</t>
  </si>
  <si>
    <t xml:space="preserve">Unlevered free cash flow (FCFF)</t>
  </si>
  <si>
    <t xml:space="preserve">Memo: company-defined free cash flow</t>
  </si>
  <si>
    <t xml:space="preserve">guide £3.6-3.8bn</t>
  </si>
  <si>
    <t xml:space="preserve">DISCOUNTING (mid-year convention; valuation date 30-Jun-2026)</t>
  </si>
  <si>
    <t xml:space="preserve">Recognition weight (share of year remaining)</t>
  </si>
  <si>
    <t xml:space="preserve">Discount period (years, mid-year)</t>
  </si>
  <si>
    <t xml:space="preserve">Discountable cash flow</t>
  </si>
  <si>
    <t xml:space="preserve">Discount factor</t>
  </si>
  <si>
    <t xml:space="preserve">PV of FCFF</t>
  </si>
  <si>
    <t xml:space="preserve">ENTERPRISE &amp; EQUITY VALUE</t>
  </si>
  <si>
    <t xml:space="preserve">Sum of PV of explicit FCFF (2026-2035)</t>
  </si>
  <si>
    <t xml:space="preserve">Terminal FCFF base (2035 NOPAT + D&amp;A - capex, excl. WC)</t>
  </si>
  <si>
    <t xml:space="preserve">Working-capital/LTSA inflow excluded from perpetuity — conservative.</t>
  </si>
  <si>
    <t xml:space="preserve">Terminal value at 31-Dec-2035 (Gordon)</t>
  </si>
  <si>
    <t xml:space="preserve">Terminal value discount period (years)</t>
  </si>
  <si>
    <t xml:space="preserve">PV of terminal value</t>
  </si>
  <si>
    <t xml:space="preserve">Enterprise value</t>
  </si>
  <si>
    <t xml:space="preserve">   of which terminal value</t>
  </si>
  <si>
    <t xml:space="preserve">(+) Net cash incl. lease liabilities</t>
  </si>
  <si>
    <t xml:space="preserve">(-) Net pension deficit, post-tax</t>
  </si>
  <si>
    <t xml:space="preserve">(-) Non-controlling interests</t>
  </si>
  <si>
    <t xml:space="preserve">Total non-operating adjustments</t>
  </si>
  <si>
    <t xml:space="preserve">Equity value</t>
  </si>
  <si>
    <t xml:space="preserve">Implied value per share (pence)</t>
  </si>
  <si>
    <t xml:space="preserve">IMPLIED MULTIPLES &amp; CROSS-CHECKS</t>
  </si>
  <si>
    <t xml:space="preserve">Implied EV / EBIT 2026E</t>
  </si>
  <si>
    <t xml:space="preserve">Implied EV / EBIT 2028E</t>
  </si>
  <si>
    <t xml:space="preserve">Market EV / EBIT 2026E (at current price)</t>
  </si>
  <si>
    <t xml:space="preserve">Market cap / FCFF 2026E (at current price)</t>
  </si>
  <si>
    <t xml:space="preserve">REVERSE DCF — WHAT IS PRICED IN?</t>
  </si>
  <si>
    <t xml:space="preserve">Market equity value (£m)</t>
  </si>
  <si>
    <t xml:space="preserve">Required PV of terminal value (£m)</t>
  </si>
  <si>
    <t xml:space="preserve">Implied terminal value at 31-Dec-2035 (£m)</t>
  </si>
  <si>
    <t xml:space="preserve">Market-implied perpetual growth rate</t>
  </si>
  <si>
    <t xml:space="preserve">Interpretation: solving the Gordon formula backwards for the growth the current price requires, holding base-case cash flows and WACC constant.</t>
  </si>
  <si>
    <t xml:space="preserve">SENSITIVITY ANALYSIS — IMPLIED VALUE PER SHARE (pence)</t>
  </si>
  <si>
    <t xml:space="preserve">Fully live: every cell re-runs the discounting engine against the DCF cash flows. Base case: WACC per WACC tab, g per Assumptions.</t>
  </si>
  <si>
    <t xml:space="preserve">1) WACC  x  TERMINAL GROWTH</t>
  </si>
  <si>
    <t xml:space="preserve">WACC \ g</t>
  </si>
  <si>
    <t xml:space="preserve">2) TERMINAL EBIT MARGIN  x  TERMINAL GROWTH  (at base WACC)</t>
  </si>
  <si>
    <t xml:space="preserve">Margin \ g</t>
  </si>
  <si>
    <t xml:space="preserve">Note: grid 2 flexes the terminal-year margin only; explicit-period cash flows are held at base case. Base-case 2035E group margin ≈ 19.5%.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</si>
</sst>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p&quot;"/>
    <numFmt numFmtId="166" formatCode="#,##0;\(#,##0\);\-"/>
    <numFmt numFmtId="167" formatCode="0.0%"/>
    <numFmt numFmtId="168" formatCode="0.00%"/>
    <numFmt numFmtId="169" formatCode="0.0\x"/>
    <numFmt numFmtId="170" formatCode="#,##0"/>
    <numFmt numFmtId="171" formatCode="#,##0.0"/>
    <numFmt numFmtId="172" formatCode="0.00"/>
    <numFmt numFmtId="173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069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069F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0069F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segment, £m (2024A-2035E)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"Civil Aerospace"</c:f>
              <c:strCache>
                <c:ptCount val="1"/>
                <c:pt idx="0">
                  <c:v>Civil Aerospace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DCF!$C$3:$N$3</c:f>
              <c:multiLvlStrCache>
                <c:ptCount val="1"/>
                <c:lvl>
                  <c:pt idx="0">
                    <c:v>2035E</c:v>
                  </c:pt>
                </c:lvl>
                <c:lvl>
                  <c:pt idx="0">
                    <c:v>2034E</c:v>
                  </c:pt>
                </c:lvl>
                <c:lvl>
                  <c:pt idx="0">
                    <c:v>2033E</c:v>
                  </c:pt>
                </c:lvl>
                <c:lvl>
                  <c:pt idx="0">
                    <c:v>2032E</c:v>
                  </c:pt>
                </c:lvl>
                <c:lvl>
                  <c:pt idx="0">
                    <c:v>2031E</c:v>
                  </c:pt>
                </c:lvl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</c:multiLvlStrCache>
            </c:multiLvlStrRef>
          </c:cat>
          <c:val>
            <c:numRef>
              <c:f>DCF!$C$5:$N$5</c:f>
              <c:numCache>
                <c:formatCode>#,##0;\(#,##0\);\-</c:formatCode>
                <c:ptCount val="12"/>
                <c:pt idx="0">
                  <c:v>9040</c:v>
                </c:pt>
                <c:pt idx="1">
                  <c:v>10382</c:v>
                </c:pt>
                <c:pt idx="2">
                  <c:v>11524.02</c:v>
                </c:pt>
                <c:pt idx="3">
                  <c:v>12676.422</c:v>
                </c:pt>
                <c:pt idx="4">
                  <c:v>13817.29998</c:v>
                </c:pt>
                <c:pt idx="5">
                  <c:v>14922.6839784</c:v>
                </c:pt>
                <c:pt idx="6">
                  <c:v>15967.271856888</c:v>
                </c:pt>
                <c:pt idx="7">
                  <c:v>17005.1445275857</c:v>
                </c:pt>
                <c:pt idx="8">
                  <c:v>18025.4531992409</c:v>
                </c:pt>
                <c:pt idx="9">
                  <c:v>19016.8531251991</c:v>
                </c:pt>
                <c:pt idx="10">
                  <c:v>19967.6957814591</c:v>
                </c:pt>
                <c:pt idx="11">
                  <c:v>20866.2420916247</c:v>
                </c:pt>
              </c:numCache>
            </c:numRef>
          </c:val>
        </c:ser>
        <c:ser>
          <c:idx val="1"/>
          <c:order val="1"/>
          <c:tx>
            <c:strRef>
              <c:f>"Defence"</c:f>
              <c:strCache>
                <c:ptCount val="1"/>
                <c:pt idx="0">
                  <c:v>Defence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DCF!$C$3:$N$3</c:f>
              <c:multiLvlStrCache>
                <c:ptCount val="1"/>
                <c:lvl>
                  <c:pt idx="0">
                    <c:v>2035E</c:v>
                  </c:pt>
                </c:lvl>
                <c:lvl>
                  <c:pt idx="0">
                    <c:v>2034E</c:v>
                  </c:pt>
                </c:lvl>
                <c:lvl>
                  <c:pt idx="0">
                    <c:v>2033E</c:v>
                  </c:pt>
                </c:lvl>
                <c:lvl>
                  <c:pt idx="0">
                    <c:v>2032E</c:v>
                  </c:pt>
                </c:lvl>
                <c:lvl>
                  <c:pt idx="0">
                    <c:v>2031E</c:v>
                  </c:pt>
                </c:lvl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</c:multiLvlStrCache>
            </c:multiLvlStrRef>
          </c:cat>
          <c:val>
            <c:numRef>
              <c:f>DCF!$C$7:$N$7</c:f>
              <c:numCache>
                <c:formatCode>#,##0;\(#,##0\);\-</c:formatCode>
                <c:ptCount val="12"/>
                <c:pt idx="0">
                  <c:v>4522</c:v>
                </c:pt>
                <c:pt idx="1">
                  <c:v>4772</c:v>
                </c:pt>
                <c:pt idx="2">
                  <c:v>5153.76</c:v>
                </c:pt>
                <c:pt idx="3">
                  <c:v>5566.0608</c:v>
                </c:pt>
                <c:pt idx="4">
                  <c:v>6011.345664</c:v>
                </c:pt>
                <c:pt idx="5">
                  <c:v>6492.25331712</c:v>
                </c:pt>
                <c:pt idx="6">
                  <c:v>6979.172315904</c:v>
                </c:pt>
                <c:pt idx="7">
                  <c:v>7467.71437801728</c:v>
                </c:pt>
                <c:pt idx="8">
                  <c:v>7953.11581258841</c:v>
                </c:pt>
                <c:pt idx="9">
                  <c:v>8430.30276134371</c:v>
                </c:pt>
                <c:pt idx="10">
                  <c:v>8893.96941321761</c:v>
                </c:pt>
                <c:pt idx="11">
                  <c:v>9338.6678838785</c:v>
                </c:pt>
              </c:numCache>
            </c:numRef>
          </c:val>
        </c:ser>
        <c:ser>
          <c:idx val="2"/>
          <c:order val="2"/>
          <c:tx>
            <c:strRef>
              <c:f>"Power Systems"</c:f>
              <c:strCache>
                <c:ptCount val="1"/>
                <c:pt idx="0">
                  <c:v>Power Systems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DCF!$C$3:$N$3</c:f>
              <c:multiLvlStrCache>
                <c:ptCount val="1"/>
                <c:lvl>
                  <c:pt idx="0">
                    <c:v>2035E</c:v>
                  </c:pt>
                </c:lvl>
                <c:lvl>
                  <c:pt idx="0">
                    <c:v>2034E</c:v>
                  </c:pt>
                </c:lvl>
                <c:lvl>
                  <c:pt idx="0">
                    <c:v>2033E</c:v>
                  </c:pt>
                </c:lvl>
                <c:lvl>
                  <c:pt idx="0">
                    <c:v>2032E</c:v>
                  </c:pt>
                </c:lvl>
                <c:lvl>
                  <c:pt idx="0">
                    <c:v>2031E</c:v>
                  </c:pt>
                </c:lvl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</c:multiLvlStrCache>
            </c:multiLvlStrRef>
          </c:cat>
          <c:val>
            <c:numRef>
              <c:f>DCF!$C$9:$N$9</c:f>
              <c:numCache>
                <c:formatCode>#,##0;\(#,##0\);\-</c:formatCode>
                <c:ptCount val="12"/>
                <c:pt idx="0">
                  <c:v>4271</c:v>
                </c:pt>
                <c:pt idx="1">
                  <c:v>4892</c:v>
                </c:pt>
                <c:pt idx="2">
                  <c:v>5576.88</c:v>
                </c:pt>
                <c:pt idx="3">
                  <c:v>6246.1056</c:v>
                </c:pt>
                <c:pt idx="4">
                  <c:v>6995.638272</c:v>
                </c:pt>
                <c:pt idx="5">
                  <c:v>7695.2020992</c:v>
                </c:pt>
                <c:pt idx="6">
                  <c:v>8387.770288128</c:v>
                </c:pt>
                <c:pt idx="7">
                  <c:v>9058.79191117825</c:v>
                </c:pt>
                <c:pt idx="8">
                  <c:v>9692.90734496072</c:v>
                </c:pt>
                <c:pt idx="9">
                  <c:v>10322.9463223832</c:v>
                </c:pt>
                <c:pt idx="10">
                  <c:v>10942.3231017262</c:v>
                </c:pt>
                <c:pt idx="11">
                  <c:v>11544.1508723211</c:v>
                </c:pt>
              </c:numCache>
            </c:numRef>
          </c:val>
        </c:ser>
        <c:gapWidth val="150"/>
        <c:overlap val="100"/>
        <c:axId val="10828593"/>
        <c:axId val="74942427"/>
      </c:barChart>
      <c:catAx>
        <c:axId val="10828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42427"/>
        <c:crosses val="autoZero"/>
        <c:auto val="1"/>
        <c:lblAlgn val="ctr"/>
        <c:lblOffset val="100"/>
        <c:noMultiLvlLbl val="0"/>
      </c:catAx>
      <c:valAx>
        <c:axId val="74942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28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Unlevered free cash flow, £m (2026E-2035E)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"FCFF"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DCF!$E$3:$N$3</c:f>
              <c:multiLvlStrCache>
                <c:ptCount val="1"/>
                <c:lvl>
                  <c:pt idx="0">
                    <c:v>2035E</c:v>
                  </c:pt>
                </c:lvl>
                <c:lvl>
                  <c:pt idx="0">
                    <c:v>2034E</c:v>
                  </c:pt>
                </c:lvl>
                <c:lvl>
                  <c:pt idx="0">
                    <c:v>2033E</c:v>
                  </c:pt>
                </c:lvl>
                <c:lvl>
                  <c:pt idx="0">
                    <c:v>2032E</c:v>
                  </c:pt>
                </c:lvl>
                <c:lvl>
                  <c:pt idx="0">
                    <c:v>2031E</c:v>
                  </c:pt>
                </c:lvl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</c:multiLvlStrCache>
            </c:multiLvlStrRef>
          </c:cat>
          <c:val>
            <c:numRef>
              <c:f>DCF!$E$36:$N$36</c:f>
              <c:numCache>
                <c:formatCode>#,##0;\(#,##0\);\-</c:formatCode>
                <c:ptCount val="10"/>
                <c:pt idx="0">
                  <c:v>3680.7700398</c:v>
                </c:pt>
                <c:pt idx="1">
                  <c:v>4053.716031792</c:v>
                </c:pt>
                <c:pt idx="2">
                  <c:v>4445.1313144016</c:v>
                </c:pt>
                <c:pt idx="3">
                  <c:v>4709.68829260375</c:v>
                </c:pt>
                <c:pt idx="4">
                  <c:v>4933.97870376125</c:v>
                </c:pt>
                <c:pt idx="5">
                  <c:v>5231.59729609315</c:v>
                </c:pt>
                <c:pt idx="6">
                  <c:v>5477.21677389988</c:v>
                </c:pt>
                <c:pt idx="7">
                  <c:v>5780.5045919306</c:v>
                </c:pt>
                <c:pt idx="8">
                  <c:v>6055.80319388259</c:v>
                </c:pt>
                <c:pt idx="9">
                  <c:v>6271.36823259506</c:v>
                </c:pt>
              </c:numCache>
            </c:numRef>
          </c:val>
        </c:ser>
        <c:gapWidth val="150"/>
        <c:overlap val="0"/>
        <c:axId val="95314900"/>
        <c:axId val="32863233"/>
      </c:barChart>
      <c:catAx>
        <c:axId val="95314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63233"/>
        <c:crosses val="autoZero"/>
        <c:auto val="1"/>
        <c:lblAlgn val="ctr"/>
        <c:lblOffset val="100"/>
        <c:noMultiLvlLbl val="0"/>
      </c:catAx>
      <c:valAx>
        <c:axId val="32863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14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160560</xdr:rowOff>
    </xdr:from>
    <xdr:to>
      <xdr:col>3</xdr:col>
      <xdr:colOff>818280</xdr:colOff>
      <xdr:row>47</xdr:row>
      <xdr:rowOff>2880</xdr:rowOff>
    </xdr:to>
    <xdr:graphicFrame>
      <xdr:nvGraphicFramePr>
        <xdr:cNvPr id="0" name="Chart 1"/>
        <xdr:cNvGraphicFramePr/>
      </xdr:nvGraphicFramePr>
      <xdr:xfrm>
        <a:off x="0" y="83916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49</xdr:row>
      <xdr:rowOff>160920</xdr:rowOff>
    </xdr:from>
    <xdr:to>
      <xdr:col>3</xdr:col>
      <xdr:colOff>818280</xdr:colOff>
      <xdr:row>64</xdr:row>
      <xdr:rowOff>2880</xdr:rowOff>
    </xdr:to>
    <xdr:graphicFrame>
      <xdr:nvGraphicFramePr>
        <xdr:cNvPr id="1" name="Chart 2"/>
        <xdr:cNvGraphicFramePr/>
      </xdr:nvGraphicFramePr>
      <xdr:xfrm>
        <a:off x="0" y="116301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46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</row>
    <row r="6" customFormat="false" ht="15" hidden="false" customHeight="false" outlineLevel="0" collapsed="false">
      <c r="A6" s="6" t="s">
        <v>4</v>
      </c>
      <c r="B6" s="7" t="n">
        <f aca="false">Assumptions!B6</f>
        <v>1438.4</v>
      </c>
      <c r="D6" s="6" t="s">
        <v>5</v>
      </c>
      <c r="E6" s="8" t="n">
        <f aca="false">Assumptions!B8</f>
        <v>119099.52</v>
      </c>
    </row>
    <row r="7" customFormat="false" ht="15" hidden="false" customHeight="false" outlineLevel="0" collapsed="false">
      <c r="A7" s="6" t="s">
        <v>6</v>
      </c>
      <c r="B7" s="9" t="n">
        <f aca="false">DCF!C61</f>
        <v>827.648060429844</v>
      </c>
      <c r="D7" s="6" t="s">
        <v>7</v>
      </c>
      <c r="E7" s="8" t="n">
        <f aca="false">DCF!C53</f>
        <v>67115.7594035911</v>
      </c>
    </row>
    <row r="8" customFormat="false" ht="15" hidden="false" customHeight="false" outlineLevel="0" collapsed="false">
      <c r="A8" s="6" t="s">
        <v>8</v>
      </c>
      <c r="B8" s="10" t="n">
        <f aca="false">DCF!C63</f>
        <v>-0.424605074784591</v>
      </c>
      <c r="D8" s="6" t="s">
        <v>9</v>
      </c>
      <c r="E8" s="11" t="n">
        <f aca="false">DCF!C54</f>
        <v>0.531263374162868</v>
      </c>
    </row>
    <row r="9" customFormat="false" ht="15" hidden="false" customHeight="false" outlineLevel="0" collapsed="false">
      <c r="A9" s="6" t="s">
        <v>10</v>
      </c>
      <c r="B9" s="12" t="n">
        <f aca="false">WACC!B22</f>
        <v>0.0952473142662326</v>
      </c>
      <c r="D9" s="6" t="s">
        <v>11</v>
      </c>
      <c r="E9" s="12" t="n">
        <f aca="false">Assumptions!B15</f>
        <v>0.0225</v>
      </c>
    </row>
    <row r="10" customFormat="false" ht="15" hidden="false" customHeight="false" outlineLevel="0" collapsed="false">
      <c r="A10" s="6" t="s">
        <v>12</v>
      </c>
      <c r="B10" s="12" t="n">
        <f aca="false">DCF!C75</f>
        <v>0.0639456664458181</v>
      </c>
      <c r="D10" s="6" t="s">
        <v>13</v>
      </c>
      <c r="E10" s="13" t="n">
        <f aca="false">DCF!C69</f>
        <v>32.3572292515377</v>
      </c>
    </row>
    <row r="12" customFormat="false" ht="15" hidden="false" customHeight="false" outlineLevel="0" collapsed="false">
      <c r="A12" s="4" t="s">
        <v>14</v>
      </c>
      <c r="B12" s="5"/>
      <c r="C12" s="5"/>
      <c r="D12" s="5"/>
      <c r="E12" s="5"/>
    </row>
    <row r="13" customFormat="false" ht="117.75" hidden="false" customHeight="true" outlineLevel="0" collapsed="false">
      <c r="A13" s="14" t="s">
        <v>15</v>
      </c>
      <c r="B13" s="14"/>
      <c r="C13" s="14"/>
      <c r="D13" s="14"/>
      <c r="E13" s="14"/>
    </row>
    <row r="15" customFormat="false" ht="15" hidden="false" customHeight="false" outlineLevel="0" collapsed="false">
      <c r="A15" s="4" t="s">
        <v>16</v>
      </c>
      <c r="B15" s="5"/>
      <c r="C15" s="5"/>
      <c r="D15" s="5"/>
      <c r="E15" s="5"/>
    </row>
    <row r="16" customFormat="false" ht="25.5" hidden="false" customHeight="true" outlineLevel="0" collapsed="false">
      <c r="A16" s="15" t="s">
        <v>17</v>
      </c>
      <c r="B16" s="15"/>
      <c r="C16" s="15"/>
      <c r="D16" s="15"/>
      <c r="E16" s="15"/>
    </row>
    <row r="17" customFormat="false" ht="25.5" hidden="false" customHeight="true" outlineLevel="0" collapsed="false">
      <c r="A17" s="15" t="s">
        <v>18</v>
      </c>
      <c r="B17" s="15"/>
      <c r="C17" s="15"/>
      <c r="D17" s="15"/>
      <c r="E17" s="15"/>
    </row>
    <row r="18" customFormat="false" ht="25.5" hidden="false" customHeight="true" outlineLevel="0" collapsed="false">
      <c r="A18" s="15" t="s">
        <v>19</v>
      </c>
      <c r="B18" s="15"/>
      <c r="C18" s="15"/>
      <c r="D18" s="15"/>
      <c r="E18" s="15"/>
    </row>
    <row r="20" customFormat="false" ht="15" hidden="false" customHeight="false" outlineLevel="0" collapsed="false">
      <c r="A20" s="4" t="s">
        <v>20</v>
      </c>
      <c r="B20" s="5"/>
      <c r="C20" s="5"/>
      <c r="D20" s="5"/>
      <c r="E20" s="5"/>
    </row>
    <row r="21" customFormat="false" ht="25.5" hidden="false" customHeight="true" outlineLevel="0" collapsed="false">
      <c r="A21" s="15" t="s">
        <v>21</v>
      </c>
      <c r="B21" s="15"/>
      <c r="C21" s="15"/>
      <c r="D21" s="15"/>
      <c r="E21" s="15"/>
    </row>
    <row r="22" customFormat="false" ht="25.5" hidden="false" customHeight="true" outlineLevel="0" collapsed="false">
      <c r="A22" s="15" t="s">
        <v>22</v>
      </c>
      <c r="B22" s="15"/>
      <c r="C22" s="15"/>
      <c r="D22" s="15"/>
      <c r="E22" s="15"/>
    </row>
    <row r="23" customFormat="false" ht="25.5" hidden="false" customHeight="true" outlineLevel="0" collapsed="false">
      <c r="A23" s="15" t="s">
        <v>23</v>
      </c>
      <c r="B23" s="15"/>
      <c r="C23" s="15"/>
      <c r="D23" s="15"/>
      <c r="E23" s="15"/>
    </row>
    <row r="25" customFormat="false" ht="15" hidden="false" customHeight="false" outlineLevel="0" collapsed="false">
      <c r="A25" s="4" t="s">
        <v>24</v>
      </c>
      <c r="B25" s="5"/>
      <c r="C25" s="5"/>
      <c r="D25" s="5"/>
      <c r="E25" s="5"/>
    </row>
    <row r="26" customFormat="false" ht="15" hidden="false" customHeight="false" outlineLevel="0" collapsed="false">
      <c r="A26" s="16" t="s">
        <v>25</v>
      </c>
      <c r="B26" s="17" t="s">
        <v>26</v>
      </c>
      <c r="C26" s="17"/>
      <c r="D26" s="17"/>
      <c r="E26" s="17"/>
    </row>
    <row r="27" customFormat="false" ht="15" hidden="false" customHeight="false" outlineLevel="0" collapsed="false">
      <c r="A27" s="18" t="s">
        <v>27</v>
      </c>
      <c r="B27" s="17" t="s">
        <v>28</v>
      </c>
      <c r="C27" s="17"/>
      <c r="D27" s="17"/>
      <c r="E27" s="17"/>
    </row>
    <row r="28" customFormat="false" ht="15" hidden="false" customHeight="false" outlineLevel="0" collapsed="false">
      <c r="A28" s="19" t="s">
        <v>29</v>
      </c>
      <c r="B28" s="17" t="s">
        <v>30</v>
      </c>
      <c r="C28" s="17"/>
      <c r="D28" s="17"/>
      <c r="E28" s="17"/>
    </row>
    <row r="29" customFormat="false" ht="15" hidden="false" customHeight="false" outlineLevel="0" collapsed="false">
      <c r="A29" s="18" t="s">
        <v>31</v>
      </c>
      <c r="B29" s="17" t="s">
        <v>32</v>
      </c>
      <c r="C29" s="17"/>
      <c r="D29" s="17"/>
      <c r="E29" s="17"/>
    </row>
    <row r="30" customFormat="false" ht="15" hidden="false" customHeight="false" outlineLevel="0" collapsed="false">
      <c r="A30" s="18" t="s">
        <v>33</v>
      </c>
      <c r="B30" s="17" t="s">
        <v>34</v>
      </c>
      <c r="C30" s="17"/>
      <c r="D30" s="17"/>
      <c r="E30" s="17"/>
    </row>
    <row r="32" customFormat="false" ht="15" hidden="false" customHeight="false" outlineLevel="0" collapsed="false">
      <c r="A32" s="3" t="s">
        <v>35</v>
      </c>
    </row>
  </sheetData>
  <mergeCells count="12">
    <mergeCell ref="A13:E13"/>
    <mergeCell ref="A16:E16"/>
    <mergeCell ref="A17:E17"/>
    <mergeCell ref="A18:E18"/>
    <mergeCell ref="A21:E21"/>
    <mergeCell ref="A22:E22"/>
    <mergeCell ref="A23:E23"/>
    <mergeCell ref="B26:E26"/>
    <mergeCell ref="B27:E27"/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3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3" t="s">
        <v>37</v>
      </c>
    </row>
    <row r="4" customFormat="false" ht="15" hidden="false" customHeight="false" outlineLevel="0" collapsed="false">
      <c r="A4" s="4" t="s">
        <v>38</v>
      </c>
      <c r="B4" s="5"/>
      <c r="C4" s="5"/>
      <c r="D4" s="5"/>
    </row>
    <row r="5" customFormat="false" ht="15" hidden="false" customHeight="false" outlineLevel="0" collapsed="false">
      <c r="A5" s="6" t="s">
        <v>39</v>
      </c>
      <c r="B5" s="20" t="s">
        <v>40</v>
      </c>
      <c r="D5" s="3" t="s">
        <v>41</v>
      </c>
    </row>
    <row r="6" customFormat="false" ht="15" hidden="false" customHeight="false" outlineLevel="0" collapsed="false">
      <c r="A6" s="6" t="s">
        <v>42</v>
      </c>
      <c r="B6" s="21" t="n">
        <v>1438.4</v>
      </c>
      <c r="D6" s="3" t="s">
        <v>43</v>
      </c>
    </row>
    <row r="7" customFormat="false" ht="15" hidden="false" customHeight="false" outlineLevel="0" collapsed="false">
      <c r="A7" s="6" t="s">
        <v>44</v>
      </c>
      <c r="B7" s="22" t="n">
        <v>8280</v>
      </c>
      <c r="D7" s="3" t="s">
        <v>45</v>
      </c>
    </row>
    <row r="8" customFormat="false" ht="15" hidden="false" customHeight="false" outlineLevel="0" collapsed="false">
      <c r="A8" s="6" t="s">
        <v>5</v>
      </c>
      <c r="B8" s="23" t="n">
        <f aca="false">B6*B7/100</f>
        <v>119099.52</v>
      </c>
      <c r="D8" s="3" t="s">
        <v>46</v>
      </c>
    </row>
    <row r="9" customFormat="false" ht="15" hidden="false" customHeight="false" outlineLevel="0" collapsed="false">
      <c r="A9" s="6" t="s">
        <v>47</v>
      </c>
      <c r="B9" s="22" t="n">
        <v>1895</v>
      </c>
      <c r="D9" s="3" t="s">
        <v>48</v>
      </c>
    </row>
    <row r="10" customFormat="false" ht="15" hidden="false" customHeight="false" outlineLevel="0" collapsed="false">
      <c r="A10" s="6" t="s">
        <v>49</v>
      </c>
      <c r="B10" s="22" t="n">
        <v>606</v>
      </c>
      <c r="D10" s="3" t="s">
        <v>50</v>
      </c>
    </row>
    <row r="11" customFormat="false" ht="15" hidden="false" customHeight="false" outlineLevel="0" collapsed="false">
      <c r="A11" s="6" t="s">
        <v>51</v>
      </c>
      <c r="B11" s="22" t="n">
        <v>27</v>
      </c>
      <c r="D11" s="3" t="s">
        <v>52</v>
      </c>
    </row>
    <row r="13" customFormat="false" ht="15" hidden="false" customHeight="false" outlineLevel="0" collapsed="false">
      <c r="A13" s="4" t="s">
        <v>53</v>
      </c>
      <c r="B13" s="5"/>
      <c r="C13" s="5"/>
      <c r="D13" s="5"/>
    </row>
    <row r="14" customFormat="false" ht="15" hidden="false" customHeight="false" outlineLevel="0" collapsed="false">
      <c r="A14" s="6" t="s">
        <v>54</v>
      </c>
      <c r="B14" s="24" t="n">
        <v>0.25</v>
      </c>
      <c r="D14" s="3" t="s">
        <v>55</v>
      </c>
    </row>
    <row r="15" customFormat="false" ht="15" hidden="false" customHeight="false" outlineLevel="0" collapsed="false">
      <c r="A15" s="6" t="s">
        <v>56</v>
      </c>
      <c r="B15" s="25" t="n">
        <v>0.0225</v>
      </c>
      <c r="D15" s="3" t="s">
        <v>57</v>
      </c>
    </row>
    <row r="16" customFormat="false" ht="15" hidden="false" customHeight="false" outlineLevel="0" collapsed="false">
      <c r="A16" s="6" t="s">
        <v>58</v>
      </c>
      <c r="B16" s="24" t="n">
        <v>0.5</v>
      </c>
      <c r="D16" s="3" t="s">
        <v>59</v>
      </c>
    </row>
    <row r="17" customFormat="false" ht="15" hidden="false" customHeight="false" outlineLevel="0" collapsed="false">
      <c r="A17" s="6" t="s">
        <v>60</v>
      </c>
      <c r="B17" s="20" t="s">
        <v>61</v>
      </c>
      <c r="D17" s="3" t="s">
        <v>62</v>
      </c>
    </row>
    <row r="19" customFormat="false" ht="15" hidden="false" customHeight="false" outlineLevel="0" collapsed="false">
      <c r="A19" s="4" t="s">
        <v>63</v>
      </c>
      <c r="B19" s="5"/>
      <c r="C19" s="5"/>
      <c r="D19" s="5"/>
    </row>
    <row r="20" customFormat="false" ht="15" hidden="false" customHeight="false" outlineLevel="0" collapsed="false">
      <c r="A20" s="6" t="s">
        <v>64</v>
      </c>
      <c r="B20" s="22" t="n">
        <v>20059</v>
      </c>
      <c r="D20" s="3" t="s">
        <v>65</v>
      </c>
    </row>
    <row r="21" customFormat="false" ht="15" hidden="false" customHeight="false" outlineLevel="0" collapsed="false">
      <c r="A21" s="6" t="s">
        <v>66</v>
      </c>
      <c r="B21" s="22" t="n">
        <v>3462</v>
      </c>
      <c r="D21" s="3" t="s">
        <v>67</v>
      </c>
    </row>
    <row r="22" customFormat="false" ht="15" hidden="false" customHeight="false" outlineLevel="0" collapsed="false">
      <c r="A22" s="6" t="s">
        <v>68</v>
      </c>
      <c r="B22" s="22" t="n">
        <v>3270</v>
      </c>
      <c r="D22" s="3" t="s">
        <v>69</v>
      </c>
    </row>
    <row r="23" customFormat="false" ht="15" hidden="false" customHeight="false" outlineLevel="0" collapsed="false">
      <c r="A23" s="6" t="s">
        <v>70</v>
      </c>
      <c r="B23" s="22" t="n">
        <v>900</v>
      </c>
      <c r="D23" s="3" t="s">
        <v>71</v>
      </c>
    </row>
    <row r="24" customFormat="false" ht="15" hidden="false" customHeight="false" outlineLevel="0" collapsed="false">
      <c r="A24" s="6" t="s">
        <v>72</v>
      </c>
      <c r="B24" s="22" t="n">
        <v>978</v>
      </c>
      <c r="D24" s="3" t="s">
        <v>73</v>
      </c>
    </row>
    <row r="26" customFormat="false" ht="15" hidden="false" customHeight="false" outlineLevel="0" collapsed="false">
      <c r="A26" s="4" t="s">
        <v>74</v>
      </c>
      <c r="B26" s="5"/>
      <c r="C26" s="5"/>
      <c r="D26" s="5"/>
    </row>
    <row r="27" customFormat="false" ht="15" hidden="false" customHeight="false" outlineLevel="0" collapsed="false">
      <c r="A27" s="6" t="s">
        <v>75</v>
      </c>
      <c r="B27" s="20" t="s">
        <v>76</v>
      </c>
      <c r="D27" s="3" t="s">
        <v>77</v>
      </c>
    </row>
    <row r="28" customFormat="false" ht="15" hidden="false" customHeight="false" outlineLevel="0" collapsed="false">
      <c r="A28" s="6" t="s">
        <v>78</v>
      </c>
      <c r="B28" s="20" t="s">
        <v>79</v>
      </c>
      <c r="D28" s="3" t="s">
        <v>80</v>
      </c>
    </row>
    <row r="29" customFormat="false" ht="15" hidden="false" customHeight="false" outlineLevel="0" collapsed="false">
      <c r="A29" s="6" t="s">
        <v>81</v>
      </c>
      <c r="B29" s="20" t="s">
        <v>82</v>
      </c>
      <c r="D29" s="3" t="s">
        <v>83</v>
      </c>
    </row>
    <row r="30" customFormat="false" ht="15" hidden="false" customHeight="false" outlineLevel="0" collapsed="false">
      <c r="A30" s="6" t="s">
        <v>84</v>
      </c>
      <c r="B30" s="20" t="s">
        <v>85</v>
      </c>
      <c r="D30" s="3" t="s">
        <v>86</v>
      </c>
    </row>
    <row r="31" customFormat="false" ht="15" hidden="false" customHeight="false" outlineLevel="0" collapsed="false">
      <c r="A31" s="6" t="s">
        <v>87</v>
      </c>
      <c r="B31" s="20" t="s">
        <v>88</v>
      </c>
      <c r="D31" s="3" t="s">
        <v>89</v>
      </c>
    </row>
    <row r="33" customFormat="false" ht="15" hidden="false" customHeight="false" outlineLevel="0" collapsed="false">
      <c r="A33" s="4" t="s">
        <v>90</v>
      </c>
      <c r="B33" s="5"/>
      <c r="C33" s="5"/>
      <c r="D33" s="5"/>
    </row>
    <row r="34" customFormat="false" ht="15" hidden="false" customHeight="false" outlineLevel="0" collapsed="false">
      <c r="A34" s="3" t="s">
        <v>91</v>
      </c>
    </row>
    <row r="35" customFormat="false" ht="15" hidden="false" customHeight="false" outlineLevel="0" collapsed="false">
      <c r="A35" s="3" t="s">
        <v>92</v>
      </c>
    </row>
    <row r="36" customFormat="false" ht="15" hidden="false" customHeight="false" outlineLevel="0" collapsed="false">
      <c r="A36" s="3" t="s">
        <v>93</v>
      </c>
    </row>
    <row r="37" customFormat="false" ht="15" hidden="false" customHeight="false" outlineLevel="0" collapsed="false">
      <c r="A37" s="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95</v>
      </c>
    </row>
    <row r="3" customFormat="false" ht="15" hidden="false" customHeight="false" outlineLevel="0" collapsed="false">
      <c r="A3" s="4" t="s">
        <v>96</v>
      </c>
      <c r="B3" s="5"/>
      <c r="C3" s="5"/>
      <c r="D3" s="5"/>
    </row>
    <row r="4" customFormat="false" ht="15" hidden="false" customHeight="false" outlineLevel="0" collapsed="false">
      <c r="A4" s="6" t="s">
        <v>97</v>
      </c>
      <c r="B4" s="26" t="n">
        <v>0.045</v>
      </c>
      <c r="D4" s="3" t="s">
        <v>98</v>
      </c>
    </row>
    <row r="5" customFormat="false" ht="15" hidden="false" customHeight="false" outlineLevel="0" collapsed="false">
      <c r="A5" s="6" t="s">
        <v>99</v>
      </c>
      <c r="B5" s="26" t="n">
        <v>0.0475</v>
      </c>
      <c r="D5" s="3" t="s">
        <v>100</v>
      </c>
    </row>
    <row r="6" customFormat="false" ht="15" hidden="false" customHeight="false" outlineLevel="0" collapsed="false">
      <c r="A6" s="6" t="s">
        <v>101</v>
      </c>
      <c r="B6" s="27" t="n">
        <v>1.1</v>
      </c>
      <c r="D6" s="3" t="s">
        <v>102</v>
      </c>
    </row>
    <row r="7" customFormat="false" ht="15" hidden="false" customHeight="false" outlineLevel="0" collapsed="false">
      <c r="A7" s="18" t="s">
        <v>103</v>
      </c>
      <c r="B7" s="28" t="n">
        <f aca="false">B4+B6*B5</f>
        <v>0.09725</v>
      </c>
    </row>
    <row r="9" customFormat="false" ht="15" hidden="false" customHeight="false" outlineLevel="0" collapsed="false">
      <c r="A9" s="4" t="s">
        <v>104</v>
      </c>
      <c r="B9" s="5"/>
      <c r="C9" s="5"/>
      <c r="D9" s="5"/>
    </row>
    <row r="10" customFormat="false" ht="15" hidden="false" customHeight="false" outlineLevel="0" collapsed="false">
      <c r="A10" s="6" t="s">
        <v>105</v>
      </c>
      <c r="B10" s="26" t="n">
        <v>0.0525</v>
      </c>
      <c r="D10" s="3" t="s">
        <v>106</v>
      </c>
    </row>
    <row r="11" customFormat="false" ht="15" hidden="false" customHeight="false" outlineLevel="0" collapsed="false">
      <c r="A11" s="6" t="s">
        <v>107</v>
      </c>
      <c r="B11" s="29" t="n">
        <f aca="false">Assumptions!B14</f>
        <v>0.25</v>
      </c>
    </row>
    <row r="12" customFormat="false" ht="15" hidden="false" customHeight="false" outlineLevel="0" collapsed="false">
      <c r="A12" s="18" t="s">
        <v>108</v>
      </c>
      <c r="B12" s="28" t="n">
        <f aca="false">B10*(1-B11)</f>
        <v>0.039375</v>
      </c>
    </row>
    <row r="14" customFormat="false" ht="15" hidden="false" customHeight="false" outlineLevel="0" collapsed="false">
      <c r="A14" s="4" t="s">
        <v>109</v>
      </c>
      <c r="B14" s="5"/>
      <c r="C14" s="5"/>
      <c r="D14" s="5"/>
    </row>
    <row r="15" customFormat="false" ht="15" hidden="false" customHeight="false" outlineLevel="0" collapsed="false">
      <c r="A15" s="6" t="s">
        <v>110</v>
      </c>
      <c r="B15" s="30" t="n">
        <f aca="false">Assumptions!B8</f>
        <v>119099.52</v>
      </c>
    </row>
    <row r="16" customFormat="false" ht="15" hidden="false" customHeight="false" outlineLevel="0" collapsed="false">
      <c r="A16" s="6" t="s">
        <v>111</v>
      </c>
      <c r="B16" s="22" t="n">
        <v>4269</v>
      </c>
      <c r="D16" s="3" t="s">
        <v>112</v>
      </c>
    </row>
    <row r="17" customFormat="false" ht="15" hidden="false" customHeight="false" outlineLevel="0" collapsed="false">
      <c r="A17" s="6" t="s">
        <v>113</v>
      </c>
      <c r="B17" s="23" t="n">
        <f aca="false">B15+B16</f>
        <v>123368.52</v>
      </c>
    </row>
    <row r="18" customFormat="false" ht="15" hidden="false" customHeight="false" outlineLevel="0" collapsed="false">
      <c r="A18" s="6" t="s">
        <v>114</v>
      </c>
      <c r="B18" s="31" t="n">
        <f aca="false">B15/B17</f>
        <v>0.965396358811794</v>
      </c>
    </row>
    <row r="19" customFormat="false" ht="15" hidden="false" customHeight="false" outlineLevel="0" collapsed="false">
      <c r="A19" s="6" t="s">
        <v>115</v>
      </c>
      <c r="B19" s="31" t="n">
        <f aca="false">B16/B17</f>
        <v>0.0346036411882059</v>
      </c>
    </row>
    <row r="21" customFormat="false" ht="15" hidden="false" customHeight="false" outlineLevel="0" collapsed="false">
      <c r="A21" s="4" t="s">
        <v>10</v>
      </c>
      <c r="B21" s="5"/>
      <c r="C21" s="5"/>
      <c r="D21" s="5"/>
    </row>
    <row r="22" customFormat="false" ht="15" hidden="false" customHeight="false" outlineLevel="0" collapsed="false">
      <c r="A22" s="18" t="s">
        <v>10</v>
      </c>
      <c r="B22" s="32" t="n">
        <f aca="false">B7*B18+B12*B19</f>
        <v>0.0952473142662326</v>
      </c>
      <c r="D22" s="3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14" min="3" style="0" width="10.51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18" t="s">
        <v>118</v>
      </c>
      <c r="C3" s="33" t="s">
        <v>119</v>
      </c>
      <c r="D3" s="33" t="s">
        <v>120</v>
      </c>
      <c r="E3" s="33" t="s">
        <v>121</v>
      </c>
      <c r="F3" s="33" t="s">
        <v>122</v>
      </c>
      <c r="G3" s="33" t="s">
        <v>123</v>
      </c>
      <c r="H3" s="33" t="s">
        <v>124</v>
      </c>
      <c r="I3" s="33" t="s">
        <v>125</v>
      </c>
      <c r="J3" s="33" t="s">
        <v>126</v>
      </c>
      <c r="K3" s="33" t="s">
        <v>127</v>
      </c>
      <c r="L3" s="33" t="s">
        <v>128</v>
      </c>
      <c r="M3" s="33" t="s">
        <v>129</v>
      </c>
      <c r="N3" s="33" t="s">
        <v>130</v>
      </c>
    </row>
    <row r="4" customFormat="false" ht="15" hidden="false" customHeight="false" outlineLevel="0" collapsed="false">
      <c r="A4" s="4" t="s">
        <v>131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6" t="s">
        <v>132</v>
      </c>
      <c r="C5" s="22" t="n">
        <v>9040</v>
      </c>
      <c r="D5" s="22" t="n">
        <v>10382</v>
      </c>
      <c r="E5" s="23" t="n">
        <f aca="false">D5*(1+E6)</f>
        <v>11524.02</v>
      </c>
      <c r="F5" s="23" t="n">
        <f aca="false">E5*(1+F6)</f>
        <v>12676.422</v>
      </c>
      <c r="G5" s="23" t="n">
        <f aca="false">F5*(1+G6)</f>
        <v>13817.29998</v>
      </c>
      <c r="H5" s="23" t="n">
        <f aca="false">G5*(1+H6)</f>
        <v>14922.6839784</v>
      </c>
      <c r="I5" s="23" t="n">
        <f aca="false">H5*(1+I6)</f>
        <v>15967.271856888</v>
      </c>
      <c r="J5" s="23" t="n">
        <f aca="false">I5*(1+J6)</f>
        <v>17005.1445275857</v>
      </c>
      <c r="K5" s="23" t="n">
        <f aca="false">J5*(1+K6)</f>
        <v>18025.4531992409</v>
      </c>
      <c r="L5" s="23" t="n">
        <f aca="false">K5*(1+L6)</f>
        <v>19016.8531251991</v>
      </c>
      <c r="M5" s="23" t="n">
        <f aca="false">L5*(1+M6)</f>
        <v>19967.6957814591</v>
      </c>
      <c r="N5" s="23" t="n">
        <f aca="false">M5*(1+N6)</f>
        <v>20866.2420916247</v>
      </c>
    </row>
    <row r="6" customFormat="false" ht="15" hidden="false" customHeight="false" outlineLevel="0" collapsed="false">
      <c r="A6" s="3" t="s">
        <v>133</v>
      </c>
      <c r="D6" s="31" t="n">
        <f aca="false">D5/C5-1</f>
        <v>0.148451327433628</v>
      </c>
      <c r="E6" s="24" t="n">
        <v>0.11</v>
      </c>
      <c r="F6" s="24" t="n">
        <v>0.1</v>
      </c>
      <c r="G6" s="24" t="n">
        <v>0.09</v>
      </c>
      <c r="H6" s="24" t="n">
        <v>0.08</v>
      </c>
      <c r="I6" s="24" t="n">
        <v>0.07</v>
      </c>
      <c r="J6" s="24" t="n">
        <v>0.065</v>
      </c>
      <c r="K6" s="24" t="n">
        <v>0.06</v>
      </c>
      <c r="L6" s="24" t="n">
        <v>0.055</v>
      </c>
      <c r="M6" s="24" t="n">
        <v>0.05</v>
      </c>
      <c r="N6" s="24" t="n">
        <v>0.045</v>
      </c>
    </row>
    <row r="7" customFormat="false" ht="15" hidden="false" customHeight="false" outlineLevel="0" collapsed="false">
      <c r="A7" s="6" t="s">
        <v>134</v>
      </c>
      <c r="C7" s="22" t="n">
        <v>4522</v>
      </c>
      <c r="D7" s="22" t="n">
        <v>4772</v>
      </c>
      <c r="E7" s="23" t="n">
        <f aca="false">D7*(1+E8)</f>
        <v>5153.76</v>
      </c>
      <c r="F7" s="23" t="n">
        <f aca="false">E7*(1+F8)</f>
        <v>5566.0608</v>
      </c>
      <c r="G7" s="23" t="n">
        <f aca="false">F7*(1+G8)</f>
        <v>6011.345664</v>
      </c>
      <c r="H7" s="23" t="n">
        <f aca="false">G7*(1+H8)</f>
        <v>6492.25331712</v>
      </c>
      <c r="I7" s="23" t="n">
        <f aca="false">H7*(1+I8)</f>
        <v>6979.172315904</v>
      </c>
      <c r="J7" s="23" t="n">
        <f aca="false">I7*(1+J8)</f>
        <v>7467.71437801728</v>
      </c>
      <c r="K7" s="23" t="n">
        <f aca="false">J7*(1+K8)</f>
        <v>7953.11581258841</v>
      </c>
      <c r="L7" s="23" t="n">
        <f aca="false">K7*(1+L8)</f>
        <v>8430.30276134371</v>
      </c>
      <c r="M7" s="23" t="n">
        <f aca="false">L7*(1+M8)</f>
        <v>8893.96941321761</v>
      </c>
      <c r="N7" s="23" t="n">
        <f aca="false">M7*(1+N8)</f>
        <v>9338.6678838785</v>
      </c>
    </row>
    <row r="8" customFormat="false" ht="15" hidden="false" customHeight="false" outlineLevel="0" collapsed="false">
      <c r="A8" s="3" t="s">
        <v>133</v>
      </c>
      <c r="D8" s="31" t="n">
        <f aca="false">D7/C7-1</f>
        <v>0.0552852720035382</v>
      </c>
      <c r="E8" s="24" t="n">
        <v>0.08</v>
      </c>
      <c r="F8" s="24" t="n">
        <v>0.08</v>
      </c>
      <c r="G8" s="24" t="n">
        <v>0.08</v>
      </c>
      <c r="H8" s="24" t="n">
        <v>0.08</v>
      </c>
      <c r="I8" s="24" t="n">
        <v>0.075</v>
      </c>
      <c r="J8" s="24" t="n">
        <v>0.07</v>
      </c>
      <c r="K8" s="24" t="n">
        <v>0.065</v>
      </c>
      <c r="L8" s="24" t="n">
        <v>0.06</v>
      </c>
      <c r="M8" s="24" t="n">
        <v>0.055</v>
      </c>
      <c r="N8" s="24" t="n">
        <v>0.05</v>
      </c>
    </row>
    <row r="9" customFormat="false" ht="15" hidden="false" customHeight="false" outlineLevel="0" collapsed="false">
      <c r="A9" s="6" t="s">
        <v>135</v>
      </c>
      <c r="C9" s="22" t="n">
        <v>4271</v>
      </c>
      <c r="D9" s="22" t="n">
        <v>4892</v>
      </c>
      <c r="E9" s="23" t="n">
        <f aca="false">D9*(1+E10)</f>
        <v>5576.88</v>
      </c>
      <c r="F9" s="23" t="n">
        <f aca="false">E9*(1+F10)</f>
        <v>6246.1056</v>
      </c>
      <c r="G9" s="23" t="n">
        <f aca="false">F9*(1+G10)</f>
        <v>6995.638272</v>
      </c>
      <c r="H9" s="23" t="n">
        <f aca="false">G9*(1+H10)</f>
        <v>7695.2020992</v>
      </c>
      <c r="I9" s="23" t="n">
        <f aca="false">H9*(1+I10)</f>
        <v>8387.770288128</v>
      </c>
      <c r="J9" s="23" t="n">
        <f aca="false">I9*(1+J10)</f>
        <v>9058.79191117825</v>
      </c>
      <c r="K9" s="23" t="n">
        <f aca="false">J9*(1+K10)</f>
        <v>9692.90734496072</v>
      </c>
      <c r="L9" s="23" t="n">
        <f aca="false">K9*(1+L10)</f>
        <v>10322.9463223832</v>
      </c>
      <c r="M9" s="23" t="n">
        <f aca="false">L9*(1+M10)</f>
        <v>10942.3231017262</v>
      </c>
      <c r="N9" s="23" t="n">
        <f aca="false">M9*(1+N10)</f>
        <v>11544.1508723211</v>
      </c>
    </row>
    <row r="10" customFormat="false" ht="15" hidden="false" customHeight="false" outlineLevel="0" collapsed="false">
      <c r="A10" s="3" t="s">
        <v>133</v>
      </c>
      <c r="D10" s="31" t="n">
        <f aca="false">D9/C9-1</f>
        <v>0.145399203933505</v>
      </c>
      <c r="E10" s="24" t="n">
        <v>0.14</v>
      </c>
      <c r="F10" s="24" t="n">
        <v>0.12</v>
      </c>
      <c r="G10" s="24" t="n">
        <v>0.12</v>
      </c>
      <c r="H10" s="24" t="n">
        <v>0.1</v>
      </c>
      <c r="I10" s="24" t="n">
        <v>0.09</v>
      </c>
      <c r="J10" s="24" t="n">
        <v>0.08</v>
      </c>
      <c r="K10" s="24" t="n">
        <v>0.07</v>
      </c>
      <c r="L10" s="24" t="n">
        <v>0.065</v>
      </c>
      <c r="M10" s="24" t="n">
        <v>0.06</v>
      </c>
      <c r="N10" s="24" t="n">
        <v>0.055</v>
      </c>
    </row>
    <row r="11" customFormat="false" ht="15" hidden="false" customHeight="false" outlineLevel="0" collapsed="false">
      <c r="A11" s="6" t="s">
        <v>136</v>
      </c>
      <c r="C11" s="22" t="n">
        <v>15</v>
      </c>
      <c r="D11" s="22" t="n">
        <v>13</v>
      </c>
      <c r="E11" s="23" t="n">
        <f aca="false">$D$11</f>
        <v>13</v>
      </c>
      <c r="F11" s="23" t="n">
        <f aca="false">$D$11</f>
        <v>13</v>
      </c>
      <c r="G11" s="23" t="n">
        <f aca="false">$D$11</f>
        <v>13</v>
      </c>
      <c r="H11" s="23" t="n">
        <f aca="false">$D$11</f>
        <v>13</v>
      </c>
      <c r="I11" s="23" t="n">
        <f aca="false">$D$11</f>
        <v>13</v>
      </c>
      <c r="J11" s="23" t="n">
        <f aca="false">$D$11</f>
        <v>13</v>
      </c>
      <c r="K11" s="23" t="n">
        <f aca="false">$D$11</f>
        <v>13</v>
      </c>
      <c r="L11" s="23" t="n">
        <f aca="false">$D$11</f>
        <v>13</v>
      </c>
      <c r="M11" s="23" t="n">
        <f aca="false">$D$11</f>
        <v>13</v>
      </c>
      <c r="N11" s="23" t="n">
        <f aca="false">$D$11</f>
        <v>13</v>
      </c>
    </row>
    <row r="12" customFormat="false" ht="15" hidden="false" customHeight="false" outlineLevel="0" collapsed="false">
      <c r="A12" s="18" t="s">
        <v>137</v>
      </c>
      <c r="C12" s="34" t="n">
        <f aca="false">SUM(C5,C7,C9,C11)</f>
        <v>17848</v>
      </c>
      <c r="D12" s="34" t="n">
        <f aca="false">SUM(D5,D7,D9,D11)</f>
        <v>20059</v>
      </c>
      <c r="E12" s="34" t="n">
        <f aca="false">SUM(E5,E7,E9,E11)</f>
        <v>22267.66</v>
      </c>
      <c r="F12" s="34" t="n">
        <f aca="false">SUM(F5,F7,F9,F11)</f>
        <v>24501.5884</v>
      </c>
      <c r="G12" s="34" t="n">
        <f aca="false">SUM(G5,G7,G9,G11)</f>
        <v>26837.283916</v>
      </c>
      <c r="H12" s="34" t="n">
        <f aca="false">SUM(H5,H7,H9,H11)</f>
        <v>29123.13939472</v>
      </c>
      <c r="I12" s="34" t="n">
        <f aca="false">SUM(I5,I7,I9,I11)</f>
        <v>31347.21446092</v>
      </c>
      <c r="J12" s="34" t="n">
        <f aca="false">SUM(J5,J7,J9,J11)</f>
        <v>33544.6508167813</v>
      </c>
      <c r="K12" s="34" t="n">
        <f aca="false">SUM(K5,K7,K9,K11)</f>
        <v>35684.47635679</v>
      </c>
      <c r="L12" s="34" t="n">
        <f aca="false">SUM(L5,L7,L9,L11)</f>
        <v>37783.102208926</v>
      </c>
      <c r="M12" s="34" t="n">
        <f aca="false">SUM(M5,M7,M9,M11)</f>
        <v>39816.9882964028</v>
      </c>
      <c r="N12" s="34" t="n">
        <f aca="false">SUM(N5,N7,N9,N11)</f>
        <v>41762.0608478243</v>
      </c>
    </row>
    <row r="13" customFormat="false" ht="15" hidden="false" customHeight="false" outlineLevel="0" collapsed="false">
      <c r="A13" s="3" t="s">
        <v>133</v>
      </c>
      <c r="D13" s="31" t="n">
        <f aca="false">D12/C12-1</f>
        <v>0.123879426266248</v>
      </c>
      <c r="E13" s="31" t="n">
        <f aca="false">E12/D12-1</f>
        <v>0.110108180866444</v>
      </c>
      <c r="F13" s="31" t="n">
        <f aca="false">F12/E12-1</f>
        <v>0.100321650321588</v>
      </c>
      <c r="G13" s="31" t="n">
        <f aca="false">G12/F12-1</f>
        <v>0.0953283304685668</v>
      </c>
      <c r="H13" s="31" t="n">
        <f aca="false">H12/G12-1</f>
        <v>0.0851746207207358</v>
      </c>
      <c r="I13" s="31" t="n">
        <f aca="false">I12/H12-1</f>
        <v>0.0763679710506493</v>
      </c>
      <c r="J13" s="31" t="n">
        <f aca="false">J12/I12-1</f>
        <v>0.0700998922440379</v>
      </c>
      <c r="K13" s="31" t="n">
        <f aca="false">K12/J12-1</f>
        <v>0.0637903656143668</v>
      </c>
      <c r="L13" s="31" t="n">
        <f aca="false">L12/K12-1</f>
        <v>0.058810610842456</v>
      </c>
      <c r="M13" s="31" t="n">
        <f aca="false">M12/L12-1</f>
        <v>0.0538305742135794</v>
      </c>
      <c r="N13" s="31" t="n">
        <f aca="false">N12/M12-1</f>
        <v>0.048850318284801</v>
      </c>
    </row>
    <row r="15" customFormat="false" ht="15" hidden="false" customHeight="false" outlineLevel="0" collapsed="false">
      <c r="A15" s="4" t="s">
        <v>138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6" t="s">
        <v>139</v>
      </c>
      <c r="C16" s="22" t="n">
        <v>1505</v>
      </c>
      <c r="D16" s="22" t="n">
        <v>2130</v>
      </c>
      <c r="E16" s="23" t="n">
        <f aca="false">E5*E17</f>
        <v>2454.61626</v>
      </c>
      <c r="F16" s="23" t="n">
        <f aca="false">F5*F17</f>
        <v>2738.107152</v>
      </c>
      <c r="G16" s="23" t="n">
        <f aca="false">G5*G17</f>
        <v>3039.8059956</v>
      </c>
      <c r="H16" s="23" t="n">
        <f aca="false">H5*H17</f>
        <v>3297.9131592264</v>
      </c>
      <c r="I16" s="23" t="n">
        <f aca="false">I5*I17</f>
        <v>3544.73435222914</v>
      </c>
      <c r="J16" s="23" t="n">
        <f aca="false">J5*J17</f>
        <v>3792.14722965162</v>
      </c>
      <c r="K16" s="23" t="n">
        <f aca="false">K5*K17</f>
        <v>4037.70151662995</v>
      </c>
      <c r="L16" s="23" t="n">
        <f aca="false">L5*L17</f>
        <v>4278.7919531698</v>
      </c>
      <c r="M16" s="23" t="n">
        <f aca="false">M5*M17</f>
        <v>4492.73155082829</v>
      </c>
      <c r="N16" s="23" t="n">
        <f aca="false">N5*N17</f>
        <v>4694.90447061556</v>
      </c>
    </row>
    <row r="17" customFormat="false" ht="15" hidden="false" customHeight="false" outlineLevel="0" collapsed="false">
      <c r="A17" s="3" t="s">
        <v>140</v>
      </c>
      <c r="C17" s="31" t="n">
        <f aca="false">C16/C5</f>
        <v>0.166482300884956</v>
      </c>
      <c r="D17" s="31" t="n">
        <f aca="false">D16/D5</f>
        <v>0.205162781737623</v>
      </c>
      <c r="E17" s="24" t="n">
        <v>0.213</v>
      </c>
      <c r="F17" s="24" t="n">
        <v>0.216</v>
      </c>
      <c r="G17" s="24" t="n">
        <v>0.22</v>
      </c>
      <c r="H17" s="24" t="n">
        <v>0.221</v>
      </c>
      <c r="I17" s="24" t="n">
        <v>0.222</v>
      </c>
      <c r="J17" s="24" t="n">
        <v>0.223</v>
      </c>
      <c r="K17" s="24" t="n">
        <v>0.224</v>
      </c>
      <c r="L17" s="24" t="n">
        <v>0.225</v>
      </c>
      <c r="M17" s="24" t="n">
        <v>0.225</v>
      </c>
      <c r="N17" s="24" t="n">
        <v>0.225</v>
      </c>
    </row>
    <row r="18" customFormat="false" ht="15" hidden="false" customHeight="false" outlineLevel="0" collapsed="false">
      <c r="A18" s="6" t="s">
        <v>141</v>
      </c>
      <c r="C18" s="22" t="n">
        <v>644</v>
      </c>
      <c r="D18" s="22" t="n">
        <v>689</v>
      </c>
      <c r="E18" s="23" t="n">
        <f aca="false">E7*E19</f>
        <v>752.44896</v>
      </c>
      <c r="F18" s="23" t="n">
        <f aca="false">F7*F19</f>
        <v>823.7769984</v>
      </c>
      <c r="G18" s="23" t="n">
        <f aca="false">G7*G19</f>
        <v>901.7018496</v>
      </c>
      <c r="H18" s="23" t="n">
        <f aca="false">H7*H19</f>
        <v>973.837997568</v>
      </c>
      <c r="I18" s="23" t="n">
        <f aca="false">I7*I19</f>
        <v>1046.8758473856</v>
      </c>
      <c r="J18" s="23" t="n">
        <f aca="false">J7*J19</f>
        <v>1120.15715670259</v>
      </c>
      <c r="K18" s="23" t="n">
        <f aca="false">K7*K19</f>
        <v>1192.96737188826</v>
      </c>
      <c r="L18" s="23" t="n">
        <f aca="false">L7*L19</f>
        <v>1264.54541420156</v>
      </c>
      <c r="M18" s="23" t="n">
        <f aca="false">M7*M19</f>
        <v>1334.09541198264</v>
      </c>
      <c r="N18" s="23" t="n">
        <f aca="false">N7*N19</f>
        <v>1400.80018258177</v>
      </c>
    </row>
    <row r="19" customFormat="false" ht="15" hidden="false" customHeight="false" outlineLevel="0" collapsed="false">
      <c r="A19" s="3" t="s">
        <v>140</v>
      </c>
      <c r="C19" s="31" t="n">
        <f aca="false">C18/C7</f>
        <v>0.142414860681115</v>
      </c>
      <c r="D19" s="31" t="n">
        <f aca="false">D18/D7</f>
        <v>0.144383906119028</v>
      </c>
      <c r="E19" s="24" t="n">
        <v>0.146</v>
      </c>
      <c r="F19" s="24" t="n">
        <v>0.148</v>
      </c>
      <c r="G19" s="24" t="n">
        <v>0.15</v>
      </c>
      <c r="H19" s="24" t="n">
        <v>0.15</v>
      </c>
      <c r="I19" s="24" t="n">
        <v>0.15</v>
      </c>
      <c r="J19" s="24" t="n">
        <v>0.15</v>
      </c>
      <c r="K19" s="24" t="n">
        <v>0.15</v>
      </c>
      <c r="L19" s="24" t="n">
        <v>0.15</v>
      </c>
      <c r="M19" s="24" t="n">
        <v>0.15</v>
      </c>
      <c r="N19" s="24" t="n">
        <v>0.15</v>
      </c>
    </row>
    <row r="20" customFormat="false" ht="15" hidden="false" customHeight="false" outlineLevel="0" collapsed="false">
      <c r="A20" s="6" t="s">
        <v>142</v>
      </c>
      <c r="C20" s="22" t="n">
        <v>560</v>
      </c>
      <c r="D20" s="22" t="n">
        <v>852</v>
      </c>
      <c r="E20" s="23" t="n">
        <f aca="false">E9*E21</f>
        <v>1003.8384</v>
      </c>
      <c r="F20" s="23" t="n">
        <f aca="false">F9*F21</f>
        <v>1155.529536</v>
      </c>
      <c r="G20" s="23" t="n">
        <f aca="false">G9*G21</f>
        <v>1329.17127168</v>
      </c>
      <c r="H20" s="23" t="n">
        <f aca="false">H9*H21</f>
        <v>1462.088398848</v>
      </c>
      <c r="I20" s="23" t="n">
        <f aca="false">I9*I21</f>
        <v>1593.67635474432</v>
      </c>
      <c r="J20" s="23" t="n">
        <f aca="false">J9*J21</f>
        <v>1721.17046312387</v>
      </c>
      <c r="K20" s="23" t="n">
        <f aca="false">K9*K21</f>
        <v>1841.65239554254</v>
      </c>
      <c r="L20" s="23" t="n">
        <f aca="false">L9*L21</f>
        <v>1961.3598012528</v>
      </c>
      <c r="M20" s="23" t="n">
        <f aca="false">M9*M21</f>
        <v>2079.04138932797</v>
      </c>
      <c r="N20" s="23" t="n">
        <f aca="false">N9*N21</f>
        <v>2193.38866574101</v>
      </c>
    </row>
    <row r="21" customFormat="false" ht="15" hidden="false" customHeight="false" outlineLevel="0" collapsed="false">
      <c r="A21" s="3" t="s">
        <v>140</v>
      </c>
      <c r="C21" s="31" t="n">
        <f aca="false">C20/C9</f>
        <v>0.131116834464997</v>
      </c>
      <c r="D21" s="31" t="n">
        <f aca="false">D20/D9</f>
        <v>0.174161896974652</v>
      </c>
      <c r="E21" s="24" t="n">
        <v>0.18</v>
      </c>
      <c r="F21" s="24" t="n">
        <v>0.185</v>
      </c>
      <c r="G21" s="24" t="n">
        <v>0.19</v>
      </c>
      <c r="H21" s="24" t="n">
        <v>0.19</v>
      </c>
      <c r="I21" s="24" t="n">
        <v>0.19</v>
      </c>
      <c r="J21" s="24" t="n">
        <v>0.19</v>
      </c>
      <c r="K21" s="24" t="n">
        <v>0.19</v>
      </c>
      <c r="L21" s="24" t="n">
        <v>0.19</v>
      </c>
      <c r="M21" s="24" t="n">
        <v>0.19</v>
      </c>
      <c r="N21" s="24" t="n">
        <v>0.19</v>
      </c>
    </row>
    <row r="22" customFormat="false" ht="15" hidden="false" customHeight="false" outlineLevel="0" collapsed="false">
      <c r="A22" s="6" t="s">
        <v>143</v>
      </c>
      <c r="C22" s="22" t="n">
        <v>-245</v>
      </c>
      <c r="D22" s="22" t="n">
        <v>-209</v>
      </c>
      <c r="E22" s="22" t="n">
        <v>-200</v>
      </c>
      <c r="F22" s="22" t="n">
        <v>-180</v>
      </c>
      <c r="G22" s="22" t="n">
        <v>-160</v>
      </c>
      <c r="H22" s="22" t="n">
        <v>-150</v>
      </c>
      <c r="I22" s="22" t="n">
        <v>-150</v>
      </c>
      <c r="J22" s="22" t="n">
        <v>-150</v>
      </c>
      <c r="K22" s="22" t="n">
        <v>-150</v>
      </c>
      <c r="L22" s="22" t="n">
        <v>-150</v>
      </c>
      <c r="M22" s="22" t="n">
        <v>-150</v>
      </c>
      <c r="N22" s="22" t="n">
        <v>-150</v>
      </c>
    </row>
    <row r="23" customFormat="false" ht="15" hidden="false" customHeight="false" outlineLevel="0" collapsed="false">
      <c r="A23" s="18" t="s">
        <v>144</v>
      </c>
      <c r="C23" s="34" t="n">
        <f aca="false">SUM(C16,C18,C20,C22)</f>
        <v>2464</v>
      </c>
      <c r="D23" s="34" t="n">
        <f aca="false">SUM(D16,D18,D20,D22)</f>
        <v>3462</v>
      </c>
      <c r="E23" s="34" t="n">
        <f aca="false">SUM(E16,E18,E20,E22)</f>
        <v>4010.90362</v>
      </c>
      <c r="F23" s="34" t="n">
        <f aca="false">SUM(F16,F18,F20,F22)</f>
        <v>4537.4136864</v>
      </c>
      <c r="G23" s="34" t="n">
        <f aca="false">SUM(G16,G18,G20,G22)</f>
        <v>5110.67911688</v>
      </c>
      <c r="H23" s="34" t="n">
        <f aca="false">SUM(H16,H18,H20,H22)</f>
        <v>5583.8395556424</v>
      </c>
      <c r="I23" s="34" t="n">
        <f aca="false">SUM(I16,I18,I20,I22)</f>
        <v>6035.28655435906</v>
      </c>
      <c r="J23" s="34" t="n">
        <f aca="false">SUM(J16,J18,J20,J22)</f>
        <v>6483.47484947808</v>
      </c>
      <c r="K23" s="34" t="n">
        <f aca="false">SUM(K16,K18,K20,K22)</f>
        <v>6922.32128406075</v>
      </c>
      <c r="L23" s="34" t="n">
        <f aca="false">SUM(L16,L18,L20,L22)</f>
        <v>7354.69716862416</v>
      </c>
      <c r="M23" s="34" t="n">
        <f aca="false">SUM(M16,M18,M20,M22)</f>
        <v>7755.8683521389</v>
      </c>
      <c r="N23" s="34" t="n">
        <f aca="false">SUM(N16,N18,N20,N22)</f>
        <v>8139.09331893835</v>
      </c>
    </row>
    <row r="24" customFormat="false" ht="15" hidden="false" customHeight="false" outlineLevel="0" collapsed="false">
      <c r="A24" s="3" t="s">
        <v>140</v>
      </c>
      <c r="C24" s="31" t="n">
        <f aca="false">C23/C12</f>
        <v>0.138054683998207</v>
      </c>
      <c r="D24" s="31" t="n">
        <f aca="false">D23/D12</f>
        <v>0.172590856971933</v>
      </c>
      <c r="E24" s="31" t="n">
        <f aca="false">E23/E12</f>
        <v>0.180122366696815</v>
      </c>
      <c r="F24" s="31" t="n">
        <f aca="false">F23/F12</f>
        <v>0.185188552363405</v>
      </c>
      <c r="G24" s="31" t="n">
        <f aca="false">G23/G12</f>
        <v>0.190432054632514</v>
      </c>
      <c r="H24" s="31" t="n">
        <f aca="false">H23/H12</f>
        <v>0.191732061573511</v>
      </c>
      <c r="I24" s="31" t="n">
        <f aca="false">I23/I12</f>
        <v>0.192530234604518</v>
      </c>
      <c r="J24" s="31" t="n">
        <f aca="false">J23/J12</f>
        <v>0.193278948852096</v>
      </c>
      <c r="K24" s="31" t="n">
        <f aca="false">K23/K12</f>
        <v>0.193986909457439</v>
      </c>
      <c r="L24" s="31" t="n">
        <f aca="false">L23/L12</f>
        <v>0.194655725407499</v>
      </c>
      <c r="M24" s="31" t="n">
        <f aca="false">M23/M12</f>
        <v>0.194787920532894</v>
      </c>
      <c r="N24" s="31" t="n">
        <f aca="false">N23/N12</f>
        <v>0.194892042052143</v>
      </c>
    </row>
    <row r="26" customFormat="false" ht="15" hidden="false" customHeight="false" outlineLevel="0" collapsed="false">
      <c r="A26" s="4" t="s">
        <v>145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6" t="s">
        <v>146</v>
      </c>
      <c r="E27" s="24" t="n">
        <v>0.21</v>
      </c>
      <c r="F27" s="24" t="n">
        <v>0.22</v>
      </c>
      <c r="G27" s="24" t="n">
        <v>0.23</v>
      </c>
      <c r="H27" s="24" t="n">
        <v>0.24</v>
      </c>
      <c r="I27" s="24" t="n">
        <v>0.25</v>
      </c>
      <c r="J27" s="24" t="n">
        <v>0.25</v>
      </c>
      <c r="K27" s="24" t="n">
        <v>0.25</v>
      </c>
      <c r="L27" s="24" t="n">
        <v>0.25</v>
      </c>
      <c r="M27" s="24" t="n">
        <v>0.25</v>
      </c>
      <c r="N27" s="24" t="n">
        <v>0.25</v>
      </c>
    </row>
    <row r="28" customFormat="false" ht="15" hidden="false" customHeight="false" outlineLevel="0" collapsed="false">
      <c r="A28" s="6" t="s">
        <v>147</v>
      </c>
      <c r="E28" s="23" t="n">
        <f aca="false">-E23*E27</f>
        <v>-842.2897602</v>
      </c>
      <c r="F28" s="23" t="n">
        <f aca="false">-F23*F27</f>
        <v>-998.231011008</v>
      </c>
      <c r="G28" s="23" t="n">
        <f aca="false">-G23*G27</f>
        <v>-1175.4561968824</v>
      </c>
      <c r="H28" s="23" t="n">
        <f aca="false">-H23*H27</f>
        <v>-1340.12149335418</v>
      </c>
      <c r="I28" s="23" t="n">
        <f aca="false">-I23*I27</f>
        <v>-1508.82163858976</v>
      </c>
      <c r="J28" s="23" t="n">
        <f aca="false">-J23*J27</f>
        <v>-1620.86871236952</v>
      </c>
      <c r="K28" s="23" t="n">
        <f aca="false">-K23*K27</f>
        <v>-1730.58032101519</v>
      </c>
      <c r="L28" s="23" t="n">
        <f aca="false">-L23*L27</f>
        <v>-1838.67429215604</v>
      </c>
      <c r="M28" s="23" t="n">
        <f aca="false">-M23*M27</f>
        <v>-1938.96708803473</v>
      </c>
      <c r="N28" s="23" t="n">
        <f aca="false">-N23*N27</f>
        <v>-2034.77332973459</v>
      </c>
    </row>
    <row r="29" customFormat="false" ht="15" hidden="false" customHeight="false" outlineLevel="0" collapsed="false">
      <c r="A29" s="18" t="s">
        <v>148</v>
      </c>
      <c r="E29" s="34" t="n">
        <f aca="false">E23+E28</f>
        <v>3168.6138598</v>
      </c>
      <c r="F29" s="34" t="n">
        <f aca="false">F23+F28</f>
        <v>3539.182675392</v>
      </c>
      <c r="G29" s="34" t="n">
        <f aca="false">G23+G28</f>
        <v>3935.2229199976</v>
      </c>
      <c r="H29" s="34" t="n">
        <f aca="false">H23+H28</f>
        <v>4243.71806228823</v>
      </c>
      <c r="I29" s="34" t="n">
        <f aca="false">I23+I28</f>
        <v>4526.46491576929</v>
      </c>
      <c r="J29" s="34" t="n">
        <f aca="false">J23+J28</f>
        <v>4862.60613710856</v>
      </c>
      <c r="K29" s="34" t="n">
        <f aca="false">K23+K28</f>
        <v>5191.74096304556</v>
      </c>
      <c r="L29" s="34" t="n">
        <f aca="false">L23+L28</f>
        <v>5516.02287646812</v>
      </c>
      <c r="M29" s="34" t="n">
        <f aca="false">M23+M28</f>
        <v>5816.90126410418</v>
      </c>
      <c r="N29" s="34" t="n">
        <f aca="false">N23+N28</f>
        <v>6104.31998920376</v>
      </c>
    </row>
    <row r="30" customFormat="false" ht="15" hidden="false" customHeight="false" outlineLevel="0" collapsed="false">
      <c r="A30" s="3" t="s">
        <v>149</v>
      </c>
      <c r="E30" s="24" t="n">
        <v>0.045</v>
      </c>
      <c r="F30" s="24" t="n">
        <v>0.045</v>
      </c>
      <c r="G30" s="24" t="n">
        <v>0.045</v>
      </c>
      <c r="H30" s="24" t="n">
        <v>0.044</v>
      </c>
      <c r="I30" s="24" t="n">
        <v>0.044</v>
      </c>
      <c r="J30" s="24" t="n">
        <v>0.044</v>
      </c>
      <c r="K30" s="24" t="n">
        <v>0.043</v>
      </c>
      <c r="L30" s="24" t="n">
        <v>0.043</v>
      </c>
      <c r="M30" s="24" t="n">
        <v>0.043</v>
      </c>
      <c r="N30" s="24" t="n">
        <v>0.043</v>
      </c>
    </row>
    <row r="31" customFormat="false" ht="15" hidden="false" customHeight="false" outlineLevel="0" collapsed="false">
      <c r="A31" s="6" t="s">
        <v>150</v>
      </c>
      <c r="E31" s="23" t="n">
        <f aca="false">E12*E30</f>
        <v>1002.0447</v>
      </c>
      <c r="F31" s="23" t="n">
        <f aca="false">F12*F30</f>
        <v>1102.571478</v>
      </c>
      <c r="G31" s="23" t="n">
        <f aca="false">G12*G30</f>
        <v>1207.67777622</v>
      </c>
      <c r="H31" s="23" t="n">
        <f aca="false">H12*H30</f>
        <v>1281.41813336768</v>
      </c>
      <c r="I31" s="23" t="n">
        <f aca="false">I12*I30</f>
        <v>1379.27743628048</v>
      </c>
      <c r="J31" s="23" t="n">
        <f aca="false">J12*J30</f>
        <v>1475.96463593837</v>
      </c>
      <c r="K31" s="23" t="n">
        <f aca="false">K12*K30</f>
        <v>1534.43248334197</v>
      </c>
      <c r="L31" s="23" t="n">
        <f aca="false">L12*L30</f>
        <v>1624.67339498382</v>
      </c>
      <c r="M31" s="23" t="n">
        <f aca="false">M12*M30</f>
        <v>1712.13049674532</v>
      </c>
      <c r="N31" s="23" t="n">
        <f aca="false">N12*N30</f>
        <v>1795.76861645645</v>
      </c>
    </row>
    <row r="32" customFormat="false" ht="15" hidden="false" customHeight="false" outlineLevel="0" collapsed="false">
      <c r="A32" s="3" t="s">
        <v>151</v>
      </c>
      <c r="E32" s="24" t="n">
        <v>0.052</v>
      </c>
      <c r="F32" s="24" t="n">
        <v>0.052</v>
      </c>
      <c r="G32" s="24" t="n">
        <v>0.052</v>
      </c>
      <c r="H32" s="24" t="n">
        <v>0.05</v>
      </c>
      <c r="I32" s="24" t="n">
        <v>0.049</v>
      </c>
      <c r="J32" s="24" t="n">
        <v>0.048</v>
      </c>
      <c r="K32" s="24" t="n">
        <v>0.047</v>
      </c>
      <c r="L32" s="24" t="n">
        <v>0.046</v>
      </c>
      <c r="M32" s="24" t="n">
        <v>0.045</v>
      </c>
      <c r="N32" s="24" t="n">
        <v>0.045</v>
      </c>
    </row>
    <row r="33" customFormat="false" ht="15" hidden="false" customHeight="false" outlineLevel="0" collapsed="false">
      <c r="A33" s="6" t="s">
        <v>152</v>
      </c>
      <c r="E33" s="23" t="n">
        <f aca="false">-E12*E32</f>
        <v>-1157.91832</v>
      </c>
      <c r="F33" s="23" t="n">
        <f aca="false">-F12*F32</f>
        <v>-1274.0825968</v>
      </c>
      <c r="G33" s="23" t="n">
        <f aca="false">-G12*G32</f>
        <v>-1395.538763632</v>
      </c>
      <c r="H33" s="23" t="n">
        <f aca="false">-H12*H32</f>
        <v>-1456.156969736</v>
      </c>
      <c r="I33" s="23" t="n">
        <f aca="false">-I12*I32</f>
        <v>-1536.01350858508</v>
      </c>
      <c r="J33" s="23" t="n">
        <f aca="false">-J12*J32</f>
        <v>-1610.1432392055</v>
      </c>
      <c r="K33" s="23" t="n">
        <f aca="false">-K12*K32</f>
        <v>-1677.17038876913</v>
      </c>
      <c r="L33" s="23" t="n">
        <f aca="false">-L12*L32</f>
        <v>-1738.0227016106</v>
      </c>
      <c r="M33" s="23" t="n">
        <f aca="false">-M12*M32</f>
        <v>-1791.76447333813</v>
      </c>
      <c r="N33" s="23" t="n">
        <f aca="false">-N12*N32</f>
        <v>-1879.29273815209</v>
      </c>
    </row>
    <row r="34" customFormat="false" ht="15" hidden="false" customHeight="false" outlineLevel="0" collapsed="false">
      <c r="A34" s="3" t="s">
        <v>153</v>
      </c>
      <c r="E34" s="24" t="n">
        <v>0.03</v>
      </c>
      <c r="F34" s="24" t="n">
        <v>0.028</v>
      </c>
      <c r="G34" s="24" t="n">
        <v>0.026</v>
      </c>
      <c r="H34" s="24" t="n">
        <v>0.022</v>
      </c>
      <c r="I34" s="24" t="n">
        <v>0.018</v>
      </c>
      <c r="J34" s="24" t="n">
        <v>0.015</v>
      </c>
      <c r="K34" s="24" t="n">
        <v>0.012</v>
      </c>
      <c r="L34" s="24" t="n">
        <v>0.01</v>
      </c>
      <c r="M34" s="24" t="n">
        <v>0.008</v>
      </c>
      <c r="N34" s="24" t="n">
        <v>0.006</v>
      </c>
    </row>
    <row r="35" customFormat="false" ht="15" hidden="false" customHeight="false" outlineLevel="0" collapsed="false">
      <c r="A35" s="6" t="s">
        <v>154</v>
      </c>
      <c r="E35" s="23" t="n">
        <f aca="false">E12*E34</f>
        <v>668.0298</v>
      </c>
      <c r="F35" s="23" t="n">
        <f aca="false">F12*F34</f>
        <v>686.0444752</v>
      </c>
      <c r="G35" s="23" t="n">
        <f aca="false">G12*G34</f>
        <v>697.769381816</v>
      </c>
      <c r="H35" s="23" t="n">
        <f aca="false">H12*H34</f>
        <v>640.70906668384</v>
      </c>
      <c r="I35" s="23" t="n">
        <f aca="false">I12*I34</f>
        <v>564.24986029656</v>
      </c>
      <c r="J35" s="23" t="n">
        <f aca="false">J12*J34</f>
        <v>503.169762251719</v>
      </c>
      <c r="K35" s="23" t="n">
        <f aca="false">K12*K34</f>
        <v>428.21371628148</v>
      </c>
      <c r="L35" s="23" t="n">
        <f aca="false">L12*L34</f>
        <v>377.83102208926</v>
      </c>
      <c r="M35" s="23" t="n">
        <f aca="false">M12*M34</f>
        <v>318.535906371223</v>
      </c>
      <c r="N35" s="23" t="n">
        <f aca="false">N12*N34</f>
        <v>250.572365086946</v>
      </c>
    </row>
    <row r="36" customFormat="false" ht="15" hidden="false" customHeight="false" outlineLevel="0" collapsed="false">
      <c r="A36" s="18" t="s">
        <v>155</v>
      </c>
      <c r="E36" s="34" t="n">
        <f aca="false">E29+E31+E33+E35</f>
        <v>3680.7700398</v>
      </c>
      <c r="F36" s="34" t="n">
        <f aca="false">F29+F31+F33+F35</f>
        <v>4053.716031792</v>
      </c>
      <c r="G36" s="34" t="n">
        <f aca="false">G29+G31+G33+G35</f>
        <v>4445.1313144016</v>
      </c>
      <c r="H36" s="34" t="n">
        <f aca="false">H29+H31+H33+H35</f>
        <v>4709.68829260375</v>
      </c>
      <c r="I36" s="34" t="n">
        <f aca="false">I29+I31+I33+I35</f>
        <v>4933.97870376125</v>
      </c>
      <c r="J36" s="34" t="n">
        <f aca="false">J29+J31+J33+J35</f>
        <v>5231.59729609315</v>
      </c>
      <c r="K36" s="34" t="n">
        <f aca="false">K29+K31+K33+K35</f>
        <v>5477.21677389988</v>
      </c>
      <c r="L36" s="34" t="n">
        <f aca="false">L29+L31+L33+L35</f>
        <v>5780.5045919306</v>
      </c>
      <c r="M36" s="34" t="n">
        <f aca="false">M29+M31+M33+M35</f>
        <v>6055.80319388259</v>
      </c>
      <c r="N36" s="34" t="n">
        <f aca="false">N29+N31+N33+N35</f>
        <v>6271.36823259506</v>
      </c>
    </row>
    <row r="37" customFormat="false" ht="15" hidden="false" customHeight="false" outlineLevel="0" collapsed="false">
      <c r="A37" s="3" t="s">
        <v>156</v>
      </c>
      <c r="C37" s="22" t="n">
        <v>2425</v>
      </c>
      <c r="D37" s="22" t="n">
        <v>3270</v>
      </c>
      <c r="E37" s="3" t="s">
        <v>157</v>
      </c>
    </row>
    <row r="39" customFormat="false" ht="15" hidden="false" customHeight="false" outlineLevel="0" collapsed="false">
      <c r="A39" s="4" t="s">
        <v>158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6" t="s">
        <v>159</v>
      </c>
      <c r="E40" s="29" t="n">
        <f aca="false">Assumptions!B16</f>
        <v>0.5</v>
      </c>
      <c r="F40" s="24" t="n">
        <v>1</v>
      </c>
      <c r="G40" s="24" t="n">
        <v>1</v>
      </c>
      <c r="H40" s="24" t="n">
        <v>1</v>
      </c>
      <c r="I40" s="24" t="n">
        <v>1</v>
      </c>
      <c r="J40" s="24" t="n">
        <v>1</v>
      </c>
      <c r="K40" s="24" t="n">
        <v>1</v>
      </c>
      <c r="L40" s="24" t="n">
        <v>1</v>
      </c>
      <c r="M40" s="24" t="n">
        <v>1</v>
      </c>
      <c r="N40" s="24" t="n">
        <v>1</v>
      </c>
    </row>
    <row r="41" customFormat="false" ht="15" hidden="false" customHeight="false" outlineLevel="0" collapsed="false">
      <c r="A41" s="6" t="s">
        <v>160</v>
      </c>
      <c r="E41" s="35" t="n">
        <f aca="false">0.5*E40</f>
        <v>0.25</v>
      </c>
      <c r="F41" s="27" t="n">
        <v>1</v>
      </c>
      <c r="G41" s="35" t="n">
        <f aca="false">F41+1</f>
        <v>2</v>
      </c>
      <c r="H41" s="35" t="n">
        <f aca="false">G41+1</f>
        <v>3</v>
      </c>
      <c r="I41" s="35" t="n">
        <f aca="false">H41+1</f>
        <v>4</v>
      </c>
      <c r="J41" s="35" t="n">
        <f aca="false">I41+1</f>
        <v>5</v>
      </c>
      <c r="K41" s="35" t="n">
        <f aca="false">J41+1</f>
        <v>6</v>
      </c>
      <c r="L41" s="35" t="n">
        <f aca="false">K41+1</f>
        <v>7</v>
      </c>
      <c r="M41" s="35" t="n">
        <f aca="false">L41+1</f>
        <v>8</v>
      </c>
      <c r="N41" s="35" t="n">
        <f aca="false">M41+1</f>
        <v>9</v>
      </c>
    </row>
    <row r="42" customFormat="false" ht="15" hidden="false" customHeight="false" outlineLevel="0" collapsed="false">
      <c r="A42" s="6" t="s">
        <v>161</v>
      </c>
      <c r="E42" s="23" t="n">
        <f aca="false">E36*E40</f>
        <v>1840.3850199</v>
      </c>
      <c r="F42" s="23" t="n">
        <f aca="false">F36*F40</f>
        <v>4053.716031792</v>
      </c>
      <c r="G42" s="23" t="n">
        <f aca="false">G36*G40</f>
        <v>4445.1313144016</v>
      </c>
      <c r="H42" s="23" t="n">
        <f aca="false">H36*H40</f>
        <v>4709.68829260375</v>
      </c>
      <c r="I42" s="23" t="n">
        <f aca="false">I36*I40</f>
        <v>4933.97870376125</v>
      </c>
      <c r="J42" s="23" t="n">
        <f aca="false">J36*J40</f>
        <v>5231.59729609315</v>
      </c>
      <c r="K42" s="23" t="n">
        <f aca="false">K36*K40</f>
        <v>5477.21677389988</v>
      </c>
      <c r="L42" s="23" t="n">
        <f aca="false">L36*L40</f>
        <v>5780.5045919306</v>
      </c>
      <c r="M42" s="23" t="n">
        <f aca="false">M36*M40</f>
        <v>6055.80319388259</v>
      </c>
      <c r="N42" s="23" t="n">
        <f aca="false">N36*N40</f>
        <v>6271.36823259506</v>
      </c>
    </row>
    <row r="43" customFormat="false" ht="15" hidden="false" customHeight="false" outlineLevel="0" collapsed="false">
      <c r="A43" s="6" t="s">
        <v>162</v>
      </c>
      <c r="E43" s="36" t="n">
        <f aca="false">1/(1+WACC!$B$22)^E41</f>
        <v>0.977511669695995</v>
      </c>
      <c r="F43" s="36" t="n">
        <f aca="false">1/(1+WACC!$B$22)^F41</f>
        <v>0.913035792897567</v>
      </c>
      <c r="G43" s="36" t="n">
        <f aca="false">1/(1+WACC!$B$22)^G41</f>
        <v>0.833634359112088</v>
      </c>
      <c r="H43" s="36" t="n">
        <f aca="false">1/(1+WACC!$B$22)^H41</f>
        <v>0.76113800805856</v>
      </c>
      <c r="I43" s="36" t="n">
        <f aca="false">1/(1+WACC!$B$22)^I41</f>
        <v>0.694946244692222</v>
      </c>
      <c r="J43" s="36" t="n">
        <f aca="false">1/(1+WACC!$B$22)^J41</f>
        <v>0.634510795543749</v>
      </c>
      <c r="K43" s="36" t="n">
        <f aca="false">1/(1+WACC!$B$22)^K41</f>
        <v>0.579331067311353</v>
      </c>
      <c r="L43" s="36" t="n">
        <f aca="false">1/(1+WACC!$B$22)^L41</f>
        <v>0.528950000392814</v>
      </c>
      <c r="M43" s="36" t="n">
        <f aca="false">1/(1+WACC!$B$22)^M41</f>
        <v>0.482950283011821</v>
      </c>
      <c r="N43" s="36" t="n">
        <f aca="false">1/(1+WACC!$B$22)^N41</f>
        <v>0.440950894579802</v>
      </c>
    </row>
    <row r="44" customFormat="false" ht="15" hidden="false" customHeight="false" outlineLevel="0" collapsed="false">
      <c r="A44" s="18" t="s">
        <v>163</v>
      </c>
      <c r="E44" s="37" t="n">
        <f aca="false">E42*E43</f>
        <v>1798.99783368595</v>
      </c>
      <c r="F44" s="37" t="n">
        <f aca="false">F42*F43</f>
        <v>3701.18783126879</v>
      </c>
      <c r="G44" s="37" t="n">
        <f aca="false">G42*G43</f>
        <v>3705.61419445025</v>
      </c>
      <c r="H44" s="37" t="n">
        <f aca="false">H42*H43</f>
        <v>3584.72276560914</v>
      </c>
      <c r="I44" s="37" t="n">
        <f aca="false">I42*I43</f>
        <v>3428.84997157028</v>
      </c>
      <c r="J44" s="37" t="n">
        <f aca="false">J42*J43</f>
        <v>3319.50496230859</v>
      </c>
      <c r="K44" s="37" t="n">
        <f aca="false">K42*K43</f>
        <v>3173.12183951906</v>
      </c>
      <c r="L44" s="37" t="n">
        <f aca="false">L42*L43</f>
        <v>3057.59790617236</v>
      </c>
      <c r="M44" s="37" t="n">
        <f aca="false">M42*M43</f>
        <v>2924.65186634949</v>
      </c>
      <c r="N44" s="37" t="n">
        <f aca="false">N42*N43</f>
        <v>2765.36543240215</v>
      </c>
    </row>
    <row r="46" customFormat="false" ht="15" hidden="false" customHeight="false" outlineLevel="0" collapsed="false">
      <c r="A46" s="4" t="s">
        <v>164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false" outlineLevel="0" collapsed="false">
      <c r="A47" s="6" t="s">
        <v>165</v>
      </c>
      <c r="C47" s="23" t="n">
        <f aca="false">SUM(E44:N44)</f>
        <v>31459.614603336</v>
      </c>
    </row>
    <row r="48" customFormat="false" ht="15" hidden="false" customHeight="false" outlineLevel="0" collapsed="false">
      <c r="A48" s="6" t="s">
        <v>166</v>
      </c>
      <c r="C48" s="23" t="n">
        <f aca="false">N29+N31+N33</f>
        <v>6020.79586750811</v>
      </c>
      <c r="E48" s="3" t="s">
        <v>167</v>
      </c>
    </row>
    <row r="49" customFormat="false" ht="15" hidden="false" customHeight="false" outlineLevel="0" collapsed="false">
      <c r="A49" s="6" t="s">
        <v>56</v>
      </c>
      <c r="C49" s="38" t="n">
        <f aca="false">Assumptions!B15</f>
        <v>0.0225</v>
      </c>
    </row>
    <row r="50" customFormat="false" ht="15" hidden="false" customHeight="false" outlineLevel="0" collapsed="false">
      <c r="A50" s="6" t="s">
        <v>168</v>
      </c>
      <c r="C50" s="23" t="n">
        <f aca="false">C48*(1+C49)/(WACC!B22-C49)</f>
        <v>84625.3066057811</v>
      </c>
    </row>
    <row r="51" customFormat="false" ht="15" hidden="false" customHeight="false" outlineLevel="0" collapsed="false">
      <c r="A51" s="6" t="s">
        <v>169</v>
      </c>
      <c r="C51" s="35" t="n">
        <f aca="false">N41+0.5</f>
        <v>9.5</v>
      </c>
    </row>
    <row r="52" customFormat="false" ht="15" hidden="false" customHeight="false" outlineLevel="0" collapsed="false">
      <c r="A52" s="6" t="s">
        <v>170</v>
      </c>
      <c r="C52" s="23" t="n">
        <f aca="false">C50/(1+WACC!B22)^C51</f>
        <v>35656.144800255</v>
      </c>
    </row>
    <row r="53" customFormat="false" ht="15" hidden="false" customHeight="false" outlineLevel="0" collapsed="false">
      <c r="A53" s="18" t="s">
        <v>171</v>
      </c>
      <c r="C53" s="37" t="n">
        <f aca="false">C47+C52</f>
        <v>67115.7594035911</v>
      </c>
    </row>
    <row r="54" customFormat="false" ht="15" hidden="false" customHeight="false" outlineLevel="0" collapsed="false">
      <c r="A54" s="6" t="s">
        <v>172</v>
      </c>
      <c r="C54" s="31" t="n">
        <f aca="false">C52/C53</f>
        <v>0.531263374162868</v>
      </c>
    </row>
    <row r="55" customFormat="false" ht="15" hidden="false" customHeight="false" outlineLevel="0" collapsed="false">
      <c r="A55" s="6" t="s">
        <v>173</v>
      </c>
      <c r="C55" s="30" t="n">
        <f aca="false">Assumptions!B9</f>
        <v>1895</v>
      </c>
    </row>
    <row r="56" customFormat="false" ht="15" hidden="false" customHeight="false" outlineLevel="0" collapsed="false">
      <c r="A56" s="6" t="s">
        <v>174</v>
      </c>
      <c r="C56" s="23" t="n">
        <f aca="false">-Assumptions!B10*(1-Assumptions!B14)</f>
        <v>-454.5</v>
      </c>
    </row>
    <row r="57" customFormat="false" ht="15" hidden="false" customHeight="false" outlineLevel="0" collapsed="false">
      <c r="A57" s="6" t="s">
        <v>175</v>
      </c>
      <c r="C57" s="23" t="n">
        <f aca="false">-Assumptions!B11</f>
        <v>-27</v>
      </c>
    </row>
    <row r="58" customFormat="false" ht="15" hidden="false" customHeight="false" outlineLevel="0" collapsed="false">
      <c r="A58" s="6" t="s">
        <v>176</v>
      </c>
      <c r="C58" s="23" t="n">
        <f aca="false">SUM(C55:C57)</f>
        <v>1413.5</v>
      </c>
    </row>
    <row r="59" customFormat="false" ht="15" hidden="false" customHeight="false" outlineLevel="0" collapsed="false">
      <c r="A59" s="18" t="s">
        <v>177</v>
      </c>
      <c r="C59" s="39" t="n">
        <f aca="false">C53+C58</f>
        <v>68529.2594035911</v>
      </c>
    </row>
    <row r="60" customFormat="false" ht="15" hidden="false" customHeight="false" outlineLevel="0" collapsed="false">
      <c r="A60" s="6" t="s">
        <v>44</v>
      </c>
      <c r="C60" s="30" t="n">
        <f aca="false">Assumptions!B7</f>
        <v>8280</v>
      </c>
    </row>
    <row r="61" customFormat="false" ht="15" hidden="false" customHeight="false" outlineLevel="0" collapsed="false">
      <c r="A61" s="18" t="s">
        <v>178</v>
      </c>
      <c r="C61" s="40" t="n">
        <f aca="false">C59/C60*100</f>
        <v>827.648060429844</v>
      </c>
    </row>
    <row r="62" customFormat="false" ht="15" hidden="false" customHeight="false" outlineLevel="0" collapsed="false">
      <c r="A62" s="6" t="s">
        <v>42</v>
      </c>
      <c r="C62" s="41" t="n">
        <f aca="false">Assumptions!B6</f>
        <v>1438.4</v>
      </c>
    </row>
    <row r="63" customFormat="false" ht="15" hidden="false" customHeight="false" outlineLevel="0" collapsed="false">
      <c r="A63" s="18" t="s">
        <v>8</v>
      </c>
      <c r="C63" s="42" t="n">
        <f aca="false">C61/C62-1</f>
        <v>-0.424605074784591</v>
      </c>
    </row>
    <row r="65" customFormat="false" ht="15" hidden="false" customHeight="false" outlineLevel="0" collapsed="false">
      <c r="A65" s="4" t="s">
        <v>179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false" outlineLevel="0" collapsed="false">
      <c r="A66" s="6" t="s">
        <v>180</v>
      </c>
      <c r="C66" s="43" t="n">
        <f aca="false">C53/E23</f>
        <v>16.733326392817</v>
      </c>
    </row>
    <row r="67" customFormat="false" ht="15" hidden="false" customHeight="false" outlineLevel="0" collapsed="false">
      <c r="A67" s="6" t="s">
        <v>181</v>
      </c>
      <c r="C67" s="43" t="n">
        <f aca="false">C53/G23</f>
        <v>13.1324541941824</v>
      </c>
    </row>
    <row r="68" customFormat="false" ht="15" hidden="false" customHeight="false" outlineLevel="0" collapsed="false">
      <c r="A68" s="6" t="s">
        <v>182</v>
      </c>
      <c r="C68" s="43" t="n">
        <f aca="false">(Assumptions!B8-C58)/E23</f>
        <v>29.341522796302</v>
      </c>
    </row>
    <row r="69" customFormat="false" ht="15" hidden="false" customHeight="false" outlineLevel="0" collapsed="false">
      <c r="A69" s="6" t="s">
        <v>183</v>
      </c>
      <c r="C69" s="43" t="n">
        <f aca="false">Assumptions!B8/E36</f>
        <v>32.3572292515377</v>
      </c>
    </row>
    <row r="71" customFormat="false" ht="15" hidden="false" customHeight="false" outlineLevel="0" collapsed="false">
      <c r="A71" s="4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false" outlineLevel="0" collapsed="false">
      <c r="A72" s="6" t="s">
        <v>185</v>
      </c>
      <c r="C72" s="30" t="n">
        <f aca="false">Assumptions!B8</f>
        <v>119099.52</v>
      </c>
    </row>
    <row r="73" customFormat="false" ht="15" hidden="false" customHeight="false" outlineLevel="0" collapsed="false">
      <c r="A73" s="6" t="s">
        <v>186</v>
      </c>
      <c r="C73" s="23" t="n">
        <f aca="false">C72-C58-C47</f>
        <v>86226.405396664</v>
      </c>
    </row>
    <row r="74" customFormat="false" ht="15" hidden="false" customHeight="false" outlineLevel="0" collapsed="false">
      <c r="A74" s="6" t="s">
        <v>187</v>
      </c>
      <c r="C74" s="23" t="n">
        <f aca="false">C73*(1+WACC!B22)^C51</f>
        <v>204647.362609849</v>
      </c>
    </row>
    <row r="75" customFormat="false" ht="15" hidden="false" customHeight="false" outlineLevel="0" collapsed="false">
      <c r="A75" s="6" t="s">
        <v>188</v>
      </c>
      <c r="C75" s="32" t="n">
        <f aca="false">(WACC!B22*C74-C48)/(C74+C48)</f>
        <v>0.0639456664458181</v>
      </c>
    </row>
    <row r="76" customFormat="false" ht="15" hidden="false" customHeight="false" outlineLevel="0" collapsed="false">
      <c r="A76" s="3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3" t="s">
        <v>191</v>
      </c>
    </row>
    <row r="4" customFormat="false" ht="15" hidden="false" customHeight="false" outlineLevel="0" collapsed="false">
      <c r="A4" s="4" t="s">
        <v>192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44" t="s">
        <v>193</v>
      </c>
      <c r="B5" s="45" t="n">
        <v>0.0125</v>
      </c>
      <c r="C5" s="45" t="n">
        <v>0.0175</v>
      </c>
      <c r="D5" s="45" t="n">
        <v>0.0225</v>
      </c>
      <c r="E5" s="45" t="n">
        <v>0.0275</v>
      </c>
      <c r="F5" s="45" t="n">
        <v>0.0325</v>
      </c>
    </row>
    <row r="6" customFormat="false" ht="15" hidden="false" customHeight="false" outlineLevel="0" collapsed="false">
      <c r="A6" s="45" t="n">
        <v>0.075</v>
      </c>
      <c r="B6" s="46" t="n">
        <f aca="false">(SUMPRODUCT(DCF!$E$42:$N$42,(1+$A6)^(-DCF!$E$41:$N$41))+DCF!$C$48*(1+B$5)/($A6-B$5)/(1+$A6)^DCF!$C$51+DCF!$C$58)/DCF!$C$60*100</f>
        <v>1023.36719228178</v>
      </c>
      <c r="C6" s="46" t="n">
        <f aca="false">(SUMPRODUCT(DCF!$E$42:$N$42,(1+$A6)^(-DCF!$E$41:$N$41))+DCF!$C$48*(1+C$5)/($A6-C$5)/(1+$A6)^DCF!$C$51+DCF!$C$58)/DCF!$C$60*100</f>
        <v>1078.07808009259</v>
      </c>
      <c r="D6" s="46" t="n">
        <f aca="false">(SUMPRODUCT(DCF!$E$42:$N$42,(1+$A6)^(-DCF!$E$41:$N$41))+DCF!$C$48*(1+D$5)/($A6-D$5)/(1+$A6)^DCF!$C$51+DCF!$C$58)/DCF!$C$60*100</f>
        <v>1143.21008939116</v>
      </c>
      <c r="E6" s="46" t="n">
        <f aca="false">(SUMPRODUCT(DCF!$E$42:$N$42,(1+$A6)^(-DCF!$E$41:$N$41))+DCF!$C$48*(1+E$5)/($A6-E$5)/(1+$A6)^DCF!$C$51+DCF!$C$58)/DCF!$C$60*100</f>
        <v>1222.05410064733</v>
      </c>
      <c r="F6" s="46" t="n">
        <f aca="false">(SUMPRODUCT(DCF!$E$42:$N$42,(1+$A6)^(-DCF!$E$41:$N$41))+DCF!$C$48*(1+F$5)/($A6-F$5)/(1+$A6)^DCF!$C$51+DCF!$C$58)/DCF!$C$60*100</f>
        <v>1319.44964396377</v>
      </c>
    </row>
    <row r="7" customFormat="false" ht="15" hidden="false" customHeight="false" outlineLevel="0" collapsed="false">
      <c r="A7" s="45" t="n">
        <v>0.08</v>
      </c>
      <c r="B7" s="46" t="n">
        <f aca="false">(SUMPRODUCT(DCF!$E$42:$N$42,(1+$A7)^(-DCF!$E$41:$N$41))+DCF!$C$48*(1+B$5)/($A7-B$5)/(1+$A7)^DCF!$C$51+DCF!$C$58)/DCF!$C$60*100</f>
        <v>947.047573730545</v>
      </c>
      <c r="C7" s="46" t="n">
        <f aca="false">(SUMPRODUCT(DCF!$E$42:$N$42,(1+$A7)^(-DCF!$E$41:$N$41))+DCF!$C$48*(1+C$5)/($A7-C$5)/(1+$A7)^DCF!$C$51+DCF!$C$58)/DCF!$C$60*100</f>
        <v>991.850652483184</v>
      </c>
      <c r="D7" s="46" t="n">
        <f aca="false">(SUMPRODUCT(DCF!$E$42:$N$42,(1+$A7)^(-DCF!$E$41:$N$41))+DCF!$C$48*(1+D$5)/($A7-D$5)/(1+$A7)^DCF!$C$51+DCF!$C$58)/DCF!$C$60*100</f>
        <v>1044.44557101889</v>
      </c>
      <c r="E7" s="46" t="n">
        <f aca="false">(SUMPRODUCT(DCF!$E$42:$N$42,(1+$A7)^(-DCF!$E$41:$N$41))+DCF!$C$48*(1+E$5)/($A7-E$5)/(1+$A7)^DCF!$C$51+DCF!$C$58)/DCF!$C$60*100</f>
        <v>1107.05856927568</v>
      </c>
      <c r="F7" s="46" t="n">
        <f aca="false">(SUMPRODUCT(DCF!$E$42:$N$42,(1+$A7)^(-DCF!$E$41:$N$41))+DCF!$C$48*(1+F$5)/($A7-F$5)/(1+$A7)^DCF!$C$51+DCF!$C$58)/DCF!$C$60*100</f>
        <v>1182.85325137601</v>
      </c>
    </row>
    <row r="8" customFormat="false" ht="15" hidden="false" customHeight="false" outlineLevel="0" collapsed="false">
      <c r="A8" s="45" t="n">
        <v>0.085</v>
      </c>
      <c r="B8" s="46" t="n">
        <f aca="false">(SUMPRODUCT(DCF!$E$42:$N$42,(1+$A8)^(-DCF!$E$41:$N$41))+DCF!$C$48*(1+B$5)/($A8-B$5)/(1+$A8)^DCF!$C$51+DCF!$C$58)/DCF!$C$60*100</f>
        <v>881.378417934807</v>
      </c>
      <c r="C8" s="46" t="n">
        <f aca="false">(SUMPRODUCT(DCF!$E$42:$N$42,(1+$A8)^(-DCF!$E$41:$N$41))+DCF!$C$48*(1+C$5)/($A8-C$5)/(1+$A8)^DCF!$C$51+DCF!$C$58)/DCF!$C$60*100</f>
        <v>918.514750852665</v>
      </c>
      <c r="D8" s="46" t="n">
        <f aca="false">(SUMPRODUCT(DCF!$E$42:$N$42,(1+$A8)^(-DCF!$E$41:$N$41))+DCF!$C$48*(1+D$5)/($A8-D$5)/(1+$A8)^DCF!$C$51+DCF!$C$58)/DCF!$C$60*100</f>
        <v>961.592897037379</v>
      </c>
      <c r="E8" s="46" t="n">
        <f aca="false">(SUMPRODUCT(DCF!$E$42:$N$42,(1+$A8)^(-DCF!$E$41:$N$41))+DCF!$C$48*(1+E$5)/($A8-E$5)/(1+$A8)^DCF!$C$51+DCF!$C$58)/DCF!$C$60*100</f>
        <v>1012.16289473248</v>
      </c>
      <c r="F8" s="46" t="n">
        <f aca="false">(SUMPRODUCT(DCF!$E$42:$N$42,(1+$A8)^(-DCF!$E$41:$N$41))+DCF!$C$48*(1+F$5)/($A8-F$5)/(1+$A8)^DCF!$C$51+DCF!$C$58)/DCF!$C$60*100</f>
        <v>1072.36527294093</v>
      </c>
    </row>
    <row r="9" customFormat="false" ht="15" hidden="false" customHeight="false" outlineLevel="0" collapsed="false">
      <c r="A9" s="45" t="n">
        <v>0.09</v>
      </c>
      <c r="B9" s="46" t="n">
        <f aca="false">(SUMPRODUCT(DCF!$E$42:$N$42,(1+$A9)^(-DCF!$E$41:$N$41))+DCF!$C$48*(1+B$5)/($A9-B$5)/(1+$A9)^DCF!$C$51+DCF!$C$58)/DCF!$C$60*100</f>
        <v>824.29169751024</v>
      </c>
      <c r="C9" s="46" t="n">
        <f aca="false">(SUMPRODUCT(DCF!$E$42:$N$42,(1+$A9)^(-DCF!$E$41:$N$41))+DCF!$C$48*(1+C$5)/($A9-C$5)/(1+$A9)^DCF!$C$51+DCF!$C$58)/DCF!$C$60*100</f>
        <v>855.396584576243</v>
      </c>
      <c r="D9" s="46" t="n">
        <f aca="false">(SUMPRODUCT(DCF!$E$42:$N$42,(1+$A9)^(-DCF!$E$41:$N$41))+DCF!$C$48*(1+D$5)/($A9-D$5)/(1+$A9)^DCF!$C$51+DCF!$C$58)/DCF!$C$60*100</f>
        <v>891.10960305943</v>
      </c>
      <c r="E9" s="46" t="n">
        <f aca="false">(SUMPRODUCT(DCF!$E$42:$N$42,(1+$A9)^(-DCF!$E$41:$N$41))+DCF!$C$48*(1+E$5)/($A9-E$5)/(1+$A9)^DCF!$C$51+DCF!$C$58)/DCF!$C$60*100</f>
        <v>932.536704499928</v>
      </c>
      <c r="F9" s="46" t="n">
        <f aca="false">(SUMPRODUCT(DCF!$E$42:$N$42,(1+$A9)^(-DCF!$E$41:$N$41))+DCF!$C$48*(1+F$5)/($A9-F$5)/(1+$A9)^DCF!$C$51+DCF!$C$58)/DCF!$C$60*100</f>
        <v>981.168519234425</v>
      </c>
    </row>
    <row r="10" customFormat="false" ht="15" hidden="false" customHeight="false" outlineLevel="0" collapsed="false">
      <c r="A10" s="45" t="n">
        <v>0.095</v>
      </c>
      <c r="B10" s="46" t="n">
        <f aca="false">(SUMPRODUCT(DCF!$E$42:$N$42,(1+$A10)^(-DCF!$E$41:$N$41))+DCF!$C$48*(1+B$5)/($A10-B$5)/(1+$A10)^DCF!$C$51+DCF!$C$58)/DCF!$C$60*100</f>
        <v>774.221126509282</v>
      </c>
      <c r="C10" s="46" t="n">
        <f aca="false">(SUMPRODUCT(DCF!$E$42:$N$42,(1+$A10)^(-DCF!$E$41:$N$41))+DCF!$C$48*(1+C$5)/($A10-C$5)/(1+$A10)^DCF!$C$51+DCF!$C$58)/DCF!$C$60*100</f>
        <v>800.512780393459</v>
      </c>
      <c r="D10" s="46" t="n">
        <f aca="false">(SUMPRODUCT(DCF!$E$42:$N$42,(1+$A10)^(-DCF!$E$41:$N$41))+DCF!$C$48*(1+D$5)/($A10-D$5)/(1+$A10)^DCF!$C$51+DCF!$C$58)/DCF!$C$60*100</f>
        <v>830.430869296142</v>
      </c>
      <c r="E10" s="46" t="n">
        <f aca="false">(SUMPRODUCT(DCF!$E$42:$N$42,(1+$A10)^(-DCF!$E$41:$N$41))+DCF!$C$48*(1+E$5)/($A10-E$5)/(1+$A10)^DCF!$C$51+DCF!$C$58)/DCF!$C$60*100</f>
        <v>864.781267665889</v>
      </c>
      <c r="F10" s="46" t="n">
        <f aca="false">(SUMPRODUCT(DCF!$E$42:$N$42,(1+$A10)^(-DCF!$E$41:$N$41))+DCF!$C$48*(1+F$5)/($A10-F$5)/(1+$A10)^DCF!$C$51+DCF!$C$58)/DCF!$C$60*100</f>
        <v>904.627729774796</v>
      </c>
    </row>
    <row r="11" customFormat="false" ht="15" hidden="false" customHeight="false" outlineLevel="0" collapsed="false">
      <c r="A11" s="45" t="n">
        <v>0.1</v>
      </c>
      <c r="B11" s="46" t="n">
        <f aca="false">(SUMPRODUCT(DCF!$E$42:$N$42,(1+$A11)^(-DCF!$E$41:$N$41))+DCF!$C$48*(1+B$5)/($A11-B$5)/(1+$A11)^DCF!$C$51+DCF!$C$58)/DCF!$C$60*100</f>
        <v>729.958779693779</v>
      </c>
      <c r="C11" s="46" t="n">
        <f aca="false">(SUMPRODUCT(DCF!$E$42:$N$42,(1+$A11)^(-DCF!$E$41:$N$41))+DCF!$C$48*(1+C$5)/($A11-C$5)/(1+$A11)^DCF!$C$51+DCF!$C$58)/DCF!$C$60*100</f>
        <v>752.361138304824</v>
      </c>
      <c r="D11" s="46" t="n">
        <f aca="false">(SUMPRODUCT(DCF!$E$42:$N$42,(1+$A11)^(-DCF!$E$41:$N$41))+DCF!$C$48*(1+D$5)/($A11-D$5)/(1+$A11)^DCF!$C$51+DCF!$C$58)/DCF!$C$60*100</f>
        <v>777.654123833422</v>
      </c>
      <c r="E11" s="46" t="n">
        <f aca="false">(SUMPRODUCT(DCF!$E$42:$N$42,(1+$A11)^(-DCF!$E$41:$N$41))+DCF!$C$48*(1+E$5)/($A11-E$5)/(1+$A11)^DCF!$C$51+DCF!$C$58)/DCF!$C$60*100</f>
        <v>806.435797021138</v>
      </c>
      <c r="F11" s="46" t="n">
        <f aca="false">(SUMPRODUCT(DCF!$E$42:$N$42,(1+$A11)^(-DCF!$E$41:$N$41))+DCF!$C$48*(1+F$5)/($A11-F$5)/(1+$A11)^DCF!$C$51+DCF!$C$58)/DCF!$C$60*100</f>
        <v>839.481421792219</v>
      </c>
    </row>
    <row r="12" customFormat="false" ht="15" hidden="false" customHeight="false" outlineLevel="0" collapsed="false">
      <c r="A12" s="45" t="n">
        <v>0.105</v>
      </c>
      <c r="B12" s="46" t="n">
        <f aca="false">(SUMPRODUCT(DCF!$E$42:$N$42,(1+$A12)^(-DCF!$E$41:$N$41))+DCF!$C$48*(1+B$5)/($A12-B$5)/(1+$A12)^DCF!$C$51+DCF!$C$58)/DCF!$C$60*100</f>
        <v>690.558215448143</v>
      </c>
      <c r="C12" s="46" t="n">
        <f aca="false">(SUMPRODUCT(DCF!$E$42:$N$42,(1+$A12)^(-DCF!$E$41:$N$41))+DCF!$C$48*(1+C$5)/($A12-C$5)/(1+$A12)^DCF!$C$51+DCF!$C$58)/DCF!$C$60*100</f>
        <v>709.783130146594</v>
      </c>
      <c r="D12" s="46" t="n">
        <f aca="false">(SUMPRODUCT(DCF!$E$42:$N$42,(1+$A12)^(-DCF!$E$41:$N$41))+DCF!$C$48*(1+D$5)/($A12-D$5)/(1+$A12)^DCF!$C$51+DCF!$C$58)/DCF!$C$60*100</f>
        <v>731.338337535766</v>
      </c>
      <c r="E12" s="46" t="n">
        <f aca="false">(SUMPRODUCT(DCF!$E$42:$N$42,(1+$A12)^(-DCF!$E$41:$N$41))+DCF!$C$48*(1+E$5)/($A12-E$5)/(1+$A12)^DCF!$C$51+DCF!$C$58)/DCF!$C$60*100</f>
        <v>755.674862007411</v>
      </c>
      <c r="F12" s="46" t="n">
        <f aca="false">(SUMPRODUCT(DCF!$E$42:$N$42,(1+$A12)^(-DCF!$E$41:$N$41))+DCF!$C$48*(1+F$5)/($A12-F$5)/(1+$A12)^DCF!$C$51+DCF!$C$58)/DCF!$C$60*100</f>
        <v>783.368148475146</v>
      </c>
    </row>
    <row r="13" customFormat="false" ht="15" hidden="false" customHeight="false" outlineLevel="0" collapsed="false">
      <c r="A13" s="45" t="n">
        <v>0.11</v>
      </c>
      <c r="B13" s="46" t="n">
        <f aca="false">(SUMPRODUCT(DCF!$E$42:$N$42,(1+$A13)^(-DCF!$E$41:$N$41))+DCF!$C$48*(1+B$5)/($A13-B$5)/(1+$A13)^DCF!$C$51+DCF!$C$58)/DCF!$C$60*100</f>
        <v>655.267408590164</v>
      </c>
      <c r="C13" s="46" t="n">
        <f aca="false">(SUMPRODUCT(DCF!$E$42:$N$42,(1+$A13)^(-DCF!$E$41:$N$41))+DCF!$C$48*(1+C$5)/($A13-C$5)/(1+$A13)^DCF!$C$51+DCF!$C$58)/DCF!$C$60*100</f>
        <v>671.870994832368</v>
      </c>
      <c r="D13" s="46" t="n">
        <f aca="false">(SUMPRODUCT(DCF!$E$42:$N$42,(1+$A13)^(-DCF!$E$41:$N$41))+DCF!$C$48*(1+D$5)/($A13-D$5)/(1+$A13)^DCF!$C$51+DCF!$C$58)/DCF!$C$60*100</f>
        <v>690.372133787967</v>
      </c>
      <c r="E13" s="46" t="n">
        <f aca="false">(SUMPRODUCT(DCF!$E$42:$N$42,(1+$A13)^(-DCF!$E$41:$N$41))+DCF!$C$48*(1+E$5)/($A13-E$5)/(1+$A13)^DCF!$C$51+DCF!$C$58)/DCF!$C$60*100</f>
        <v>711.115835041214</v>
      </c>
      <c r="F13" s="46" t="n">
        <f aca="false">(SUMPRODUCT(DCF!$E$42:$N$42,(1+$A13)^(-DCF!$E$41:$N$41))+DCF!$C$48*(1+F$5)/($A13-F$5)/(1+$A13)^DCF!$C$51+DCF!$C$58)/DCF!$C$60*100</f>
        <v>734.536142907783</v>
      </c>
    </row>
    <row r="16" customFormat="false" ht="15" hidden="false" customHeight="false" outlineLevel="0" collapsed="false">
      <c r="A16" s="4" t="s">
        <v>194</v>
      </c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44" t="s">
        <v>195</v>
      </c>
      <c r="B17" s="45" t="n">
        <v>0.0125</v>
      </c>
      <c r="C17" s="45" t="n">
        <v>0.0175</v>
      </c>
      <c r="D17" s="45" t="n">
        <v>0.0225</v>
      </c>
      <c r="E17" s="45" t="n">
        <v>0.0275</v>
      </c>
      <c r="F17" s="45" t="n">
        <v>0.0325</v>
      </c>
    </row>
    <row r="18" customFormat="false" ht="15" hidden="false" customHeight="false" outlineLevel="0" collapsed="false">
      <c r="A18" s="47" t="n">
        <v>0.17</v>
      </c>
      <c r="B18" s="46" t="n">
        <f aca="false">(DCF!$C$47+(DCF!$N$12*$A18*(1-DCF!$N$27)+DCF!$N$31+DCF!$N$33)*(1+B$17)/(WACC!$B$22-B$17)/(1+WACC!$B$22)^DCF!$C$51+DCF!$C$58)/DCF!$C$60*100</f>
        <v>723.35848493626</v>
      </c>
      <c r="C18" s="46" t="n">
        <f aca="false">(DCF!$C$47+(DCF!$N$12*$A18*(1-DCF!$N$27)+DCF!$N$31+DCF!$N$33)*(1+C$17)/(WACC!$B$22-C$17)/(1+WACC!$B$22)^DCF!$C$51+DCF!$C$58)/DCF!$C$60*100</f>
        <v>746.060914628023</v>
      </c>
      <c r="D18" s="46" t="n">
        <f aca="false">(DCF!$C$47+(DCF!$N$12*$A18*(1-DCF!$N$27)+DCF!$N$31+DCF!$N$33)*(1+D$17)/(WACC!$B$22-D$17)/(1+WACC!$B$22)^DCF!$C$51+DCF!$C$58)/DCF!$C$60*100</f>
        <v>771.88406842084</v>
      </c>
      <c r="E18" s="46" t="n">
        <f aca="false">(DCF!$C$47+(DCF!$N$12*$A18*(1-DCF!$N$27)+DCF!$N$31+DCF!$N$33)*(1+E$17)/(WACC!$B$22-E$17)/(1+WACC!$B$22)^DCF!$C$51+DCF!$C$58)/DCF!$C$60*100</f>
        <v>801.518908931059</v>
      </c>
      <c r="F18" s="46" t="n">
        <f aca="false">(DCF!$C$47+(DCF!$N$12*$A18*(1-DCF!$N$27)+DCF!$N$31+DCF!$N$33)*(1+F$17)/(WACC!$B$22-F$17)/(1+WACC!$B$22)^DCF!$C$51+DCF!$C$58)/DCF!$C$60*100</f>
        <v>835.876635329982</v>
      </c>
    </row>
    <row r="19" customFormat="false" ht="15" hidden="false" customHeight="false" outlineLevel="0" collapsed="false">
      <c r="A19" s="47" t="n">
        <v>0.18</v>
      </c>
      <c r="B19" s="46" t="n">
        <f aca="false">(DCF!$C$47+(DCF!$N$12*$A19*(1-DCF!$N$27)+DCF!$N$31+DCF!$N$33)*(1+B$17)/(WACC!$B$22-B$17)/(1+WACC!$B$22)^DCF!$C$51+DCF!$C$58)/DCF!$C$60*100</f>
        <v>742.860886885988</v>
      </c>
      <c r="C19" s="46" t="n">
        <f aca="false">(DCF!$C$47+(DCF!$N$12*$A19*(1-DCF!$N$27)+DCF!$N$31+DCF!$N$33)*(1+C$17)/(WACC!$B$22-C$17)/(1+WACC!$B$22)^DCF!$C$51+DCF!$C$58)/DCF!$C$60*100</f>
        <v>766.920035483633</v>
      </c>
      <c r="D19" s="46" t="n">
        <f aca="false">(DCF!$C$47+(DCF!$N$12*$A19*(1-DCF!$N$27)+DCF!$N$31+DCF!$N$33)*(1+D$17)/(WACC!$B$22-D$17)/(1+WACC!$B$22)^DCF!$C$51+DCF!$C$58)/DCF!$C$60*100</f>
        <v>794.28640563857</v>
      </c>
      <c r="E19" s="46" t="n">
        <f aca="false">(DCF!$C$47+(DCF!$N$12*$A19*(1-DCF!$N$27)+DCF!$N$31+DCF!$N$33)*(1+E$17)/(WACC!$B$22-E$17)/(1+WACC!$B$22)^DCF!$C$51+DCF!$C$58)/DCF!$C$60*100</f>
        <v>825.692252553782</v>
      </c>
      <c r="F19" s="46" t="n">
        <f aca="false">(DCF!$C$47+(DCF!$N$12*$A19*(1-DCF!$N$27)+DCF!$N$31+DCF!$N$33)*(1+F$17)/(WACC!$B$22-F$17)/(1+WACC!$B$22)^DCF!$C$51+DCF!$C$58)/DCF!$C$60*100</f>
        <v>862.103229534315</v>
      </c>
    </row>
    <row r="20" customFormat="false" ht="15" hidden="false" customHeight="false" outlineLevel="0" collapsed="false">
      <c r="A20" s="47" t="n">
        <v>0.19</v>
      </c>
      <c r="B20" s="46" t="n">
        <f aca="false">(DCF!$C$47+(DCF!$N$12*$A20*(1-DCF!$N$27)+DCF!$N$31+DCF!$N$33)*(1+B$17)/(WACC!$B$22-B$17)/(1+WACC!$B$22)^DCF!$C$51+DCF!$C$58)/DCF!$C$60*100</f>
        <v>762.363288835715</v>
      </c>
      <c r="C20" s="46" t="n">
        <f aca="false">(DCF!$C$47+(DCF!$N$12*$A20*(1-DCF!$N$27)+DCF!$N$31+DCF!$N$33)*(1+C$17)/(WACC!$B$22-C$17)/(1+WACC!$B$22)^DCF!$C$51+DCF!$C$58)/DCF!$C$60*100</f>
        <v>787.779156339242</v>
      </c>
      <c r="D20" s="46" t="n">
        <f aca="false">(DCF!$C$47+(DCF!$N$12*$A20*(1-DCF!$N$27)+DCF!$N$31+DCF!$N$33)*(1+D$17)/(WACC!$B$22-D$17)/(1+WACC!$B$22)^DCF!$C$51+DCF!$C$58)/DCF!$C$60*100</f>
        <v>816.688742856301</v>
      </c>
      <c r="E20" s="46" t="n">
        <f aca="false">(DCF!$C$47+(DCF!$N$12*$A20*(1-DCF!$N$27)+DCF!$N$31+DCF!$N$33)*(1+E$17)/(WACC!$B$22-E$17)/(1+WACC!$B$22)^DCF!$C$51+DCF!$C$58)/DCF!$C$60*100</f>
        <v>849.865596176505</v>
      </c>
      <c r="F20" s="46" t="n">
        <f aca="false">(DCF!$C$47+(DCF!$N$12*$A20*(1-DCF!$N$27)+DCF!$N$31+DCF!$N$33)*(1+F$17)/(WACC!$B$22-F$17)/(1+WACC!$B$22)^DCF!$C$51+DCF!$C$58)/DCF!$C$60*100</f>
        <v>888.329823738647</v>
      </c>
    </row>
    <row r="21" customFormat="false" ht="15" hidden="false" customHeight="false" outlineLevel="0" collapsed="false">
      <c r="A21" s="47" t="n">
        <v>0.195</v>
      </c>
      <c r="B21" s="46" t="n">
        <f aca="false">(DCF!$C$47+(DCF!$N$12*$A21*(1-DCF!$N$27)+DCF!$N$31+DCF!$N$33)*(1+B$17)/(WACC!$B$22-B$17)/(1+WACC!$B$22)^DCF!$C$51+DCF!$C$58)/DCF!$C$60*100</f>
        <v>772.114489810579</v>
      </c>
      <c r="C21" s="46" t="n">
        <f aca="false">(DCF!$C$47+(DCF!$N$12*$A21*(1-DCF!$N$27)+DCF!$N$31+DCF!$N$33)*(1+C$17)/(WACC!$B$22-C$17)/(1+WACC!$B$22)^DCF!$C$51+DCF!$C$58)/DCF!$C$60*100</f>
        <v>798.208716767047</v>
      </c>
      <c r="D21" s="46" t="n">
        <f aca="false">(DCF!$C$47+(DCF!$N$12*$A21*(1-DCF!$N$27)+DCF!$N$31+DCF!$N$33)*(1+D$17)/(WACC!$B$22-D$17)/(1+WACC!$B$22)^DCF!$C$51+DCF!$C$58)/DCF!$C$60*100</f>
        <v>827.889911465166</v>
      </c>
      <c r="E21" s="46" t="n">
        <f aca="false">(DCF!$C$47+(DCF!$N$12*$A21*(1-DCF!$N$27)+DCF!$N$31+DCF!$N$33)*(1+E$17)/(WACC!$B$22-E$17)/(1+WACC!$B$22)^DCF!$C$51+DCF!$C$58)/DCF!$C$60*100</f>
        <v>861.952267987867</v>
      </c>
      <c r="F21" s="46" t="n">
        <f aca="false">(DCF!$C$47+(DCF!$N$12*$A21*(1-DCF!$N$27)+DCF!$N$31+DCF!$N$33)*(1+F$17)/(WACC!$B$22-F$17)/(1+WACC!$B$22)^DCF!$C$51+DCF!$C$58)/DCF!$C$60*100</f>
        <v>901.443120840813</v>
      </c>
    </row>
    <row r="22" customFormat="false" ht="15" hidden="false" customHeight="false" outlineLevel="0" collapsed="false">
      <c r="A22" s="47" t="n">
        <v>0.2</v>
      </c>
      <c r="B22" s="46" t="n">
        <f aca="false">(DCF!$C$47+(DCF!$N$12*$A22*(1-DCF!$N$27)+DCF!$N$31+DCF!$N$33)*(1+B$17)/(WACC!$B$22-B$17)/(1+WACC!$B$22)^DCF!$C$51+DCF!$C$58)/DCF!$C$60*100</f>
        <v>781.865690785442</v>
      </c>
      <c r="C22" s="46" t="n">
        <f aca="false">(DCF!$C$47+(DCF!$N$12*$A22*(1-DCF!$N$27)+DCF!$N$31+DCF!$N$33)*(1+C$17)/(WACC!$B$22-C$17)/(1+WACC!$B$22)^DCF!$C$51+DCF!$C$58)/DCF!$C$60*100</f>
        <v>808.638277194852</v>
      </c>
      <c r="D22" s="46" t="n">
        <f aca="false">(DCF!$C$47+(DCF!$N$12*$A22*(1-DCF!$N$27)+DCF!$N$31+DCF!$N$33)*(1+D$17)/(WACC!$B$22-D$17)/(1+WACC!$B$22)^DCF!$C$51+DCF!$C$58)/DCF!$C$60*100</f>
        <v>839.091080074031</v>
      </c>
      <c r="E22" s="46" t="n">
        <f aca="false">(DCF!$C$47+(DCF!$N$12*$A22*(1-DCF!$N$27)+DCF!$N$31+DCF!$N$33)*(1+E$17)/(WACC!$B$22-E$17)/(1+WACC!$B$22)^DCF!$C$51+DCF!$C$58)/DCF!$C$60*100</f>
        <v>874.038939799229</v>
      </c>
      <c r="F22" s="46" t="n">
        <f aca="false">(DCF!$C$47+(DCF!$N$12*$A22*(1-DCF!$N$27)+DCF!$N$31+DCF!$N$33)*(1+F$17)/(WACC!$B$22-F$17)/(1+WACC!$B$22)^DCF!$C$51+DCF!$C$58)/DCF!$C$60*100</f>
        <v>914.556417942979</v>
      </c>
    </row>
    <row r="23" customFormat="false" ht="15" hidden="false" customHeight="false" outlineLevel="0" collapsed="false">
      <c r="A23" s="47" t="n">
        <v>0.21</v>
      </c>
      <c r="B23" s="46" t="n">
        <f aca="false">(DCF!$C$47+(DCF!$N$12*$A23*(1-DCF!$N$27)+DCF!$N$31+DCF!$N$33)*(1+B$17)/(WACC!$B$22-B$17)/(1+WACC!$B$22)^DCF!$C$51+DCF!$C$58)/DCF!$C$60*100</f>
        <v>801.36809273517</v>
      </c>
      <c r="C23" s="46" t="n">
        <f aca="false">(DCF!$C$47+(DCF!$N$12*$A23*(1-DCF!$N$27)+DCF!$N$31+DCF!$N$33)*(1+C$17)/(WACC!$B$22-C$17)/(1+WACC!$B$22)^DCF!$C$51+DCF!$C$58)/DCF!$C$60*100</f>
        <v>829.497398050462</v>
      </c>
      <c r="D23" s="46" t="n">
        <f aca="false">(DCF!$C$47+(DCF!$N$12*$A23*(1-DCF!$N$27)+DCF!$N$31+DCF!$N$33)*(1+D$17)/(WACC!$B$22-D$17)/(1+WACC!$B$22)^DCF!$C$51+DCF!$C$58)/DCF!$C$60*100</f>
        <v>861.493417291761</v>
      </c>
      <c r="E23" s="46" t="n">
        <f aca="false">(DCF!$C$47+(DCF!$N$12*$A23*(1-DCF!$N$27)+DCF!$N$31+DCF!$N$33)*(1+E$17)/(WACC!$B$22-E$17)/(1+WACC!$B$22)^DCF!$C$51+DCF!$C$58)/DCF!$C$60*100</f>
        <v>898.212283421952</v>
      </c>
      <c r="F23" s="46" t="n">
        <f aca="false">(DCF!$C$47+(DCF!$N$12*$A23*(1-DCF!$N$27)+DCF!$N$31+DCF!$N$33)*(1+F$17)/(WACC!$B$22-F$17)/(1+WACC!$B$22)^DCF!$C$51+DCF!$C$58)/DCF!$C$60*100</f>
        <v>940.783012147312</v>
      </c>
    </row>
    <row r="24" customFormat="false" ht="15" hidden="false" customHeight="false" outlineLevel="0" collapsed="false">
      <c r="A24" s="47" t="n">
        <v>0.22</v>
      </c>
      <c r="B24" s="46" t="n">
        <f aca="false">(DCF!$C$47+(DCF!$N$12*$A24*(1-DCF!$N$27)+DCF!$N$31+DCF!$N$33)*(1+B$17)/(WACC!$B$22-B$17)/(1+WACC!$B$22)^DCF!$C$51+DCF!$C$58)/DCF!$C$60*100</f>
        <v>820.870494684897</v>
      </c>
      <c r="C24" s="46" t="n">
        <f aca="false">(DCF!$C$47+(DCF!$N$12*$A24*(1-DCF!$N$27)+DCF!$N$31+DCF!$N$33)*(1+C$17)/(WACC!$B$22-C$17)/(1+WACC!$B$22)^DCF!$C$51+DCF!$C$58)/DCF!$C$60*100</f>
        <v>850.356518906071</v>
      </c>
      <c r="D24" s="46" t="n">
        <f aca="false">(DCF!$C$47+(DCF!$N$12*$A24*(1-DCF!$N$27)+DCF!$N$31+DCF!$N$33)*(1+D$17)/(WACC!$B$22-D$17)/(1+WACC!$B$22)^DCF!$C$51+DCF!$C$58)/DCF!$C$60*100</f>
        <v>883.895754509491</v>
      </c>
      <c r="E24" s="46" t="n">
        <f aca="false">(DCF!$C$47+(DCF!$N$12*$A24*(1-DCF!$N$27)+DCF!$N$31+DCF!$N$33)*(1+E$17)/(WACC!$B$22-E$17)/(1+WACC!$B$22)^DCF!$C$51+DCF!$C$58)/DCF!$C$60*100</f>
        <v>922.385627044675</v>
      </c>
      <c r="F24" s="46" t="n">
        <f aca="false">(DCF!$C$47+(DCF!$N$12*$A24*(1-DCF!$N$27)+DCF!$N$31+DCF!$N$33)*(1+F$17)/(WACC!$B$22-F$17)/(1+WACC!$B$22)^DCF!$C$51+DCF!$C$58)/DCF!$C$60*100</f>
        <v>967.009606351644</v>
      </c>
    </row>
    <row r="26" customFormat="false" ht="15" hidden="false" customHeight="false" outlineLevel="0" collapsed="false">
      <c r="A26" s="3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2026-07-11T06:01:21Z</dcterms:created>
  <dc:creator>openpyxl</dc:creator>
  <dc:description/>
  <dc:language>en-US</dc:language>
  <cp:lastModifiedBy/>
  <dcterms:modified xsi:type="dcterms:W3CDTF">2026-07-11T06:01:22Z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